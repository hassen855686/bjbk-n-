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A" sheetId="3" r:id="rId5"/>
    <sheet state="visible" name="B" sheetId="4" r:id="rId6"/>
    <sheet state="visible" name="C1" sheetId="5" r:id="rId7"/>
    <sheet state="visible" name="C2" sheetId="6" r:id="rId8"/>
    <sheet state="visible" name="D1" sheetId="7" r:id="rId9"/>
    <sheet state="visible" name="D2" sheetId="8" r:id="rId10"/>
    <sheet state="visible" name="D3" sheetId="9" r:id="rId11"/>
    <sheet state="visible" name="Topics" sheetId="10" r:id="rId12"/>
    <sheet state="visible" name="Checklist" sheetId="11" r:id="rId13"/>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comments2.xml><?xml version="1.0" encoding="utf-8"?>
<comments xmlns:r="http://schemas.openxmlformats.org/officeDocument/2006/relationships" xmlns="http://schemas.openxmlformats.org/spreadsheetml/2006/mai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sharedStrings.xml><?xml version="1.0" encoding="utf-8"?>
<sst xmlns="http://schemas.openxmlformats.org/spreadsheetml/2006/main" count="3560" uniqueCount="1847">
  <si>
    <t>Problem Solving Sheet</t>
  </si>
  <si>
    <r>
      <rPr>
        <rFont val="Arial"/>
      </rPr>
      <t xml:space="preserve">This google sheet is created by </t>
    </r>
    <r>
      <rPr>
        <rFont val="Arial"/>
        <b/>
      </rPr>
      <t>Dr Mostafa Saad Ibrahim</t>
    </r>
    <r>
      <rPr>
        <rFont val="Arial"/>
      </rPr>
      <t xml:space="preserve">. Overall </t>
    </r>
    <r>
      <rPr>
        <rFont val="Arial"/>
        <b/>
      </rPr>
      <t>~950</t>
    </r>
    <r>
      <rPr>
        <rFont val="Arial"/>
      </rPr>
      <t xml:space="preserve"> problems for </t>
    </r>
    <r>
      <rPr>
        <rFont val="Arial"/>
        <b/>
      </rPr>
      <t>newcomers</t>
    </r>
    <r>
      <rPr>
        <rFont val="Arial"/>
      </rPr>
      <t xml:space="preserve"> to problem solving.</t>
    </r>
  </si>
  <si>
    <t>The goal of this sheet is to enhance algorthmic probem solving skills for both programming competitions and interviws preparations</t>
  </si>
  <si>
    <r>
      <rPr>
        <rFont val="Arial"/>
      </rPr>
      <t xml:space="preserve">Currenet Version </t>
    </r>
    <r>
      <rPr>
        <rFont val="Arial"/>
        <b/>
      </rPr>
      <t>V7.0</t>
    </r>
  </si>
  <si>
    <r>
      <rPr>
        <rFont val="Arial"/>
        <b/>
      </rPr>
      <t xml:space="preserve">This is read-access only file. Read line 31 to create your </t>
    </r>
    <r>
      <rPr>
        <rFont val="Arial"/>
        <b/>
        <color rgb="FF0000FF"/>
      </rPr>
      <t>OWN COPY</t>
    </r>
    <r>
      <rPr>
        <rFont val="Arial"/>
        <b/>
      </rPr>
      <t>.</t>
    </r>
  </si>
  <si>
    <t>mostafa.saad.fci@gmail.com</t>
  </si>
  <si>
    <t>Site</t>
  </si>
  <si>
    <t>To understand the sheet, watch these videos</t>
  </si>
  <si>
    <t>New Video explaining the sheet</t>
  </si>
  <si>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</si>
  <si>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</si>
  <si>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</si>
  <si>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</si>
  <si>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</si>
  <si>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</si>
  <si>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us the most prefrred.</t>
  </si>
  <si>
    <r>
      <rPr>
        <rFont val="Arial"/>
        <b/>
        <sz val="12.0"/>
      </rPr>
      <t xml:space="preserve">My Relevant 
</t>
    </r>
    <r>
      <rPr>
        <rFont val="Arial"/>
        <b/>
        <color rgb="FF0000FF"/>
        <sz val="12.0"/>
      </rPr>
      <t>UDEMY</t>
    </r>
    <r>
      <rPr>
        <rFont val="Arial"/>
        <b/>
        <sz val="12.0"/>
      </rPr>
      <t xml:space="preserve"> courses</t>
    </r>
  </si>
  <si>
    <t>Coupons</t>
  </si>
  <si>
    <t>Mastering 4 critical SKILLS using C++ 17</t>
  </si>
  <si>
    <t>Specifically content till project #3</t>
  </si>
  <si>
    <t xml:space="preserve">Mastering critical SKILLS in Data Structures using C++ </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</si>
  <si>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</si>
  <si>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</si>
  <si>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</si>
  <si>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</si>
  <si>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</si>
  <si>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</si>
  <si>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rFont val="Arial"/>
      </rPr>
      <t xml:space="preserve">- You can train in one of the following ways:
- A) </t>
    </r>
    <r>
      <rPr>
        <rFont val="Arial"/>
        <b/>
      </rPr>
      <t>Blind-Order training style</t>
    </r>
    <r>
      <rPr>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rPr>
      <t>recommended</t>
    </r>
    <r>
      <rPr>
        <rFont val="Arial"/>
      </rPr>
      <t xml:space="preserve"> way, though most camps/training-approaches don't use this style
- B) </t>
    </r>
    <r>
      <rPr>
        <rFont val="Arial"/>
        <b/>
      </rPr>
      <t xml:space="preserve">Topics-Based training style
</t>
    </r>
    <r>
      <rPr>
        <rFont val="Arial"/>
      </rPr>
      <t xml:space="preserve">- See sheet page (Topics). It has the same sheet problems (A to D3) ordered by category and level, around 950 problems
- </t>
    </r>
    <r>
      <rPr>
        <rFont val="Arial"/>
        <b/>
      </rPr>
      <t>Ideas Quality column</t>
    </r>
    <r>
      <rPr>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</si>
  <si>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</si>
  <si>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</si>
  <si>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rFont val="Arial"/>
        <b/>
      </rPr>
      <t xml:space="preserve">Your Sheet </t>
    </r>
    <r>
      <rPr>
        <rFont val="Arial"/>
        <b/>
        <color rgb="FF0000FF"/>
      </rPr>
      <t>COPY</t>
    </r>
  </si>
  <si>
    <r>
      <rPr>
        <rFont val="Arial"/>
      </rPr>
      <t>This is a personal Google sheet for you [</t>
    </r>
    <r>
      <rPr>
        <rFont val="Arial"/>
        <b/>
      </rPr>
      <t>Make a copy</t>
    </r>
    <r>
      <rPr>
        <rFont val="Arial"/>
      </rPr>
      <t xml:space="preserve"> from file MENU] to have sets of problems to solve coupled with algorithms to learn
- Don't download the sheet, Use it online
- Can't edit it? Because it is </t>
    </r>
    <r>
      <rPr>
        <rFont val="Arial"/>
        <b/>
      </rPr>
      <t>read-only</t>
    </r>
    <r>
      <rPr>
        <rFont val="Arial"/>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rPr>
      <t>RENAME</t>
    </r>
    <r>
      <rPr>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</si>
  <si>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</si>
  <si>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</si>
  <si>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</si>
  <si>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</si>
  <si>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</si>
  <si>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</si>
  <si>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</si>
  <si>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</si>
  <si>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</si>
  <si>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</si>
  <si>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</si>
  <si>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</si>
  <si>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</si>
  <si>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</si>
  <si>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</si>
  <si>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</si>
  <si>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</si>
  <si>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</si>
  <si>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</si>
  <si>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</si>
  <si>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</si>
  <si>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</si>
  <si>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</si>
  <si>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</si>
  <si>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</si>
  <si>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</si>
  <si>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</si>
  <si>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</si>
  <si>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</si>
  <si>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</si>
  <si>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</si>
  <si>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</si>
  <si>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</si>
  <si>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</si>
  <si>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</si>
  <si>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</si>
  <si>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</si>
  <si>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</si>
  <si>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</si>
  <si>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</si>
  <si>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</si>
  <si>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</si>
  <si>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</si>
  <si>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</si>
  <si>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</si>
  <si>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</si>
  <si>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</si>
  <si>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</si>
  <si>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</si>
  <si>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</si>
  <si>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</si>
  <si>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rFont val="arial,sans,sans-serif"/>
        <b/>
      </rPr>
      <t>Thanks</t>
    </r>
    <r>
      <rPr>
        <rFont val="arial,sans,sans-serif"/>
      </rPr>
      <t xml:space="preserve"> for all guys who sent sheet feedback: Mariam Alshereef, Magdy Hassan, Ahmed Yasser, Ahmed Elsayed Awad, Mohamed Nasser, Mostafa Ali Mansour, Aya elymany, Ayyad shenouda, Others.</t>
    </r>
  </si>
  <si>
    <r>
      <rPr>
        <rFont val="arial,sans,sans-serif"/>
      </rPr>
      <t xml:space="preserve">Special Thanks for </t>
    </r>
    <r>
      <rPr>
        <rFont val="arial,sans,sans-serif"/>
      </rPr>
      <t>Coach Alhussain Aly</t>
    </r>
    <r>
      <rPr>
        <rFont val="arial,sans,sans-serif"/>
      </rPr>
      <t xml:space="preserve"> for his continuous help</t>
    </r>
  </si>
  <si>
    <t>Special Thanks for All volunteers in videos recording / editorials writing</t>
  </si>
  <si>
    <r>
      <rPr/>
      <t xml:space="preserve">Q) What is the sheet </t>
    </r>
    <r>
      <rPr>
        <b/>
      </rPr>
      <t>requirements</t>
    </r>
    <r>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</si>
  <si>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</si>
  <si>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</si>
  <si>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rP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</si>
  <si>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t>Q) How many problems to solve per day?</t>
  </si>
  <si>
    <t>- I prefer you to decide the number of hours weekly and cover them. Don't use the problems count as a measure</t>
  </si>
  <si>
    <r>
      <rPr/>
      <t xml:space="preserve">Q) When should I give up and </t>
    </r>
    <r>
      <rPr>
        <b/>
      </rPr>
      <t>check the editorials</t>
    </r>
    <r>
      <rPr/>
      <t xml:space="preserve"> and solutions?</t>
    </r>
  </si>
  <si>
    <t>https://ask.fm/mostafasaad87/answers/144907000290</t>
  </si>
  <si>
    <r>
      <rPr/>
      <t xml:space="preserve">Q) Got </t>
    </r>
    <r>
      <rPr>
        <b/>
      </rPr>
      <t>WA</t>
    </r>
    <r>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</si>
  <si>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</si>
  <si>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rPr/>
      <t xml:space="preserve">Q) What is the </t>
    </r>
    <r>
      <rPr>
        <b/>
      </rPr>
      <t>debug time</t>
    </r>
    <r>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</si>
  <si>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</si>
  <si>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t xml:space="preserve">Q) Should I solve </t>
    </r>
    <r>
      <rPr>
        <b/>
      </rPr>
      <t>every problem</t>
    </r>
    <r>
      <rPr/>
      <t>?</t>
    </r>
  </si>
  <si>
    <t>- Generally, preferred, but If you think certain level is easy (e.g. solve it within 15 minutes), then jump a block and so on
- This jumping might be for codeforces problems only</t>
  </si>
  <si>
    <t>Q) About UVA</t>
  </si>
  <si>
    <r>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rPr>
      <t>udebug</t>
    </r>
    <r>
      <rPr/>
      <t xml:space="preserve"> to find test cases of some problems. E.g. https://www.udebug.com/UVa/10110
- 3) UVA used to have very nice forum. Seems not active
- 4) Get AC solution and use it to generate test cases, if easy</t>
    </r>
  </si>
  <si>
    <r>
      <rPr/>
      <t xml:space="preserve">Q) Is using </t>
    </r>
    <r>
      <rPr>
        <b/>
      </rPr>
      <t>C#</t>
    </r>
    <r>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</si>
  <si>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</si>
  <si>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rPr>
      <t xml:space="preserve">Q) When I watch a </t>
    </r>
    <r>
      <rPr>
        <rFont val="arial,sans,sans-serif"/>
        <b/>
      </rPr>
      <t>video</t>
    </r>
    <r>
      <rPr>
        <rFont val="arial,sans,sans-serif"/>
      </rPr>
      <t xml:space="preserve">, should I solve the </t>
    </r>
    <r>
      <rPr>
        <rFont val="arial,sans,sans-serif"/>
        <b/>
      </rPr>
      <t>problems</t>
    </r>
    <r>
      <rPr>
        <rFont val="arial,sans,sans-serif"/>
      </rPr>
      <t xml:space="preserve"> in its info section?</t>
    </r>
  </si>
  <si>
    <t>- No, sheet has subset of these problems already in specific order
- Sheet is self-contained</t>
  </si>
  <si>
    <r>
      <rPr>
        <rFont val="arial,sans,sans-serif"/>
      </rPr>
      <t xml:space="preserve">Q) I watched the </t>
    </r>
    <r>
      <rPr>
        <rFont val="arial,sans,sans-serif"/>
        <b/>
      </rPr>
      <t>video</t>
    </r>
    <r>
      <rPr>
        <rFont val="arial,sans,sans-serif"/>
      </rPr>
      <t xml:space="preserve">, but it is </t>
    </r>
    <r>
      <rPr>
        <rFont val="arial,sans,sans-serif"/>
        <b/>
      </rPr>
      <t>hard</t>
    </r>
    <r>
      <rPr>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</si>
  <si>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</si>
  <si>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rPr>
      <t xml:space="preserve">Q) How does your sheet prepare for </t>
    </r>
    <r>
      <rPr>
        <rFont val="arial,sans,sans-serif"/>
        <b/>
      </rPr>
      <t>ECPC/ACPC</t>
    </r>
    <r>
      <rPr>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</si>
  <si>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</si>
  <si>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</si>
  <si>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sans,sans-serif"/>
      </rPr>
      <t xml:space="preserve">Q) How different is your sheet versus </t>
    </r>
    <r>
      <rPr>
        <rFont val="arial,sans,sans-serif"/>
        <b/>
      </rPr>
      <t>Ahmed Aly Ladders</t>
    </r>
    <r>
      <rPr>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</si>
  <si>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</si>
  <si>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rPr>
      <t xml:space="preserve">Q) How did you </t>
    </r>
    <r>
      <rPr>
        <rFont val="arial,sans,sans-serif"/>
        <b/>
      </rPr>
      <t>select problems</t>
    </r>
    <r>
      <rPr>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</si>
  <si>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</si>
  <si>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rPr>
      <t xml:space="preserve">Q) can't </t>
    </r>
    <r>
      <rPr>
        <rFont val="arial,sans,sans-serif"/>
        <b/>
      </rPr>
      <t>access</t>
    </r>
    <r>
      <rPr>
        <rFont val="arial,sans,sans-serif"/>
      </rPr>
      <t xml:space="preserve"> the sheet in </t>
    </r>
    <r>
      <rPr>
        <rFont val="arial,sans,sans-serif"/>
        <b/>
      </rPr>
      <t>edit</t>
    </r>
    <r>
      <rPr>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</si>
  <si>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</si>
  <si>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rFont val="arial,sans,sans-serif"/>
      </rPr>
      <t xml:space="preserve">Q) What to write in the </t>
    </r>
    <r>
      <rPr>
        <rFont val="arial,sans,sans-serif"/>
        <b/>
      </rPr>
      <t>category column</t>
    </r>
    <r>
      <rPr>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</si>
  <si>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</si>
  <si>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rFont val="arial,sans,sans-serif"/>
      </rPr>
      <t xml:space="preserve">Q) Are problems really sorted based on </t>
    </r>
    <r>
      <rPr>
        <rFont val="arial,sans,sans-serif"/>
        <b/>
      </rPr>
      <t>easiness</t>
    </r>
    <r>
      <rPr>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</si>
  <si>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</si>
  <si>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rPr>
      <t xml:space="preserve">Q) What are these problems </t>
    </r>
    <r>
      <rPr>
        <rFont val="arial,sans,sans-serif"/>
        <b/>
      </rPr>
      <t>colors</t>
    </r>
    <r>
      <rPr>
        <rFont val="arial,sans,sans-serif"/>
      </rPr>
      <t>?</t>
    </r>
  </si>
  <si>
    <t>See "Problems Colors" notes in info page</t>
  </si>
  <si>
    <r>
      <rPr>
        <rFont val="arial,sans,sans-serif"/>
      </rPr>
      <t xml:space="preserve">Q) Are the problems </t>
    </r>
    <r>
      <rPr>
        <rFont val="arial,sans,sans-serif"/>
        <b/>
      </rPr>
      <t>sorted</t>
    </r>
    <r>
      <rPr>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</si>
  <si>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</si>
  <si>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rFont val="arial,sans,sans-serif"/>
      </rPr>
      <t xml:space="preserve">Q) Why problem-solving is that </t>
    </r>
    <r>
      <rPr>
        <rFont val="arial,sans,sans-serif"/>
        <b/>
      </rPr>
      <t>important</t>
    </r>
    <r>
      <rPr>
        <rFont val="arial,sans,sans-serif"/>
      </rPr>
      <t>?</t>
    </r>
  </si>
  <si>
    <t>See the first 2 videos here: https://www.youtube.com/playlist?list=PLPt2dINI2MIaNcU070HIAO8JWYBcafuyG</t>
  </si>
  <si>
    <r>
      <rPr>
        <rFont val="arial,sans,sans-serif"/>
      </rPr>
      <t xml:space="preserve">Q) I </t>
    </r>
    <r>
      <rPr>
        <rFont val="arial,sans,sans-serif"/>
        <b/>
      </rPr>
      <t>feel bored</t>
    </r>
    <r>
      <rPr>
        <rFont val="arial,sans,sans-serif"/>
      </rPr>
      <t xml:space="preserve"> when solving problems compare to doing projects?</t>
    </r>
  </si>
  <si>
    <t>https://ask.fm/mostafasaad87/answers/145333554402</t>
  </si>
  <si>
    <r>
      <rPr>
        <rFont val="arial,sans,sans-serif"/>
      </rPr>
      <t xml:space="preserve">Q) I would like to </t>
    </r>
    <r>
      <rPr>
        <rFont val="arial,sans,sans-serif"/>
        <b/>
      </rPr>
      <t>freeze</t>
    </r>
    <r>
      <rPr>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</si>
  <si>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</si>
  <si>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</si>
  <si>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</si>
  <si>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</si>
  <si>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</si>
  <si>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</si>
  <si>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</si>
  <si>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</si>
  <si>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</si>
  <si>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</si>
  <si>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</si>
  <si>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</si>
  <si>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</si>
  <si>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</si>
  <si>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</si>
  <si>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</si>
  <si>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</si>
  <si>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</si>
  <si>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</si>
  <si>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</si>
  <si>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</si>
  <si>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</si>
  <si>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</si>
  <si>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</si>
  <si>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</si>
  <si>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</si>
  <si>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</si>
  <si>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</si>
  <si>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</si>
  <si>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</si>
  <si>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</si>
  <si>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</si>
  <si>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</si>
  <si>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Sample Name2</t>
  </si>
  <si>
    <t>Sample Link2</t>
  </si>
  <si>
    <t>No</t>
  </si>
  <si>
    <t>Impl</t>
  </si>
  <si>
    <r>
      <rPr>
        <rFont val="Arial"/>
      </rPr>
      <t xml:space="preserve">I had to check the editorial
</t>
    </r>
    <r>
      <rPr>
        <rFont val="Arial"/>
        <b/>
        <color rgb="FF9900FF"/>
      </rPr>
      <t xml:space="preserve">
My Performance Notes: </t>
    </r>
    <r>
      <rPr>
        <rFont val="Arial"/>
      </rPr>
      <t xml:space="preserve">This is so bad performance. He thought for little time and continued thinking while coding. As a result, much debug time too. RULE: </t>
    </r>
    <r>
      <rPr>
        <rFont val="Arial"/>
        <b/>
      </rPr>
      <t xml:space="preserve">Think More, Code Faster
</t>
    </r>
  </si>
  <si>
    <t>Sample Name3</t>
  </si>
  <si>
    <t>Sample Link3</t>
  </si>
  <si>
    <t>Graph</t>
  </si>
  <si>
    <r>
      <rPr>
        <rFont val="Arial"/>
      </rPr>
      <t xml:space="preserve">Please always write and study your timings.
</t>
    </r>
    <r>
      <rPr>
        <rFont val="Arial"/>
        <b/>
        <color rgb="FF0000FF"/>
      </rPr>
      <t xml:space="preserve">My Performance Notes: </t>
    </r>
    <r>
      <rPr>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</si>
  <si>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</si>
  <si>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</si>
  <si>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</si>
  <si>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</si>
  <si>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</si>
  <si>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</si>
  <si>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</si>
  <si>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</si>
  <si>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</si>
  <si>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</si>
  <si>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</si>
  <si>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</si>
  <si>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</si>
  <si>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</si>
  <si>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</si>
  <si>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</si>
  <si>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</si>
  <si>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</si>
  <si>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</si>
  <si>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</si>
  <si>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</si>
  <si>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</si>
  <si>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</si>
  <si>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</si>
  <si>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</si>
  <si>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</si>
  <si>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</si>
  <si>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</si>
  <si>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</si>
  <si>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</si>
  <si>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</si>
  <si>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</si>
  <si>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</si>
  <si>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</si>
  <si>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</si>
  <si>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</si>
  <si>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</si>
  <si>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</si>
  <si>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</si>
  <si>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</si>
  <si>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</si>
  <si>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</si>
  <si>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</si>
  <si>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</si>
  <si>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</si>
  <si>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</si>
  <si>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</si>
  <si>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</si>
  <si>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</si>
  <si>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</si>
  <si>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</si>
  <si>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</si>
  <si>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</si>
  <si>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</si>
  <si>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</si>
  <si>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</si>
  <si>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</si>
  <si>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</si>
  <si>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</si>
  <si>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</si>
  <si>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</si>
  <si>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</si>
  <si>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</si>
  <si>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</si>
  <si>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</si>
  <si>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</si>
  <si>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</si>
  <si>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</si>
  <si>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</si>
  <si>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</si>
  <si>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</si>
  <si>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</si>
  <si>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</si>
  <si>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</si>
  <si>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</si>
  <si>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</si>
  <si>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</si>
  <si>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</si>
  <si>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</si>
  <si>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</si>
  <si>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</si>
  <si>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</si>
  <si>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</si>
  <si>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</si>
  <si>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</si>
  <si>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</si>
  <si>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</si>
  <si>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</si>
  <si>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</si>
  <si>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</si>
  <si>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</si>
  <si>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</si>
  <si>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</si>
  <si>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</si>
  <si>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</si>
  <si>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</si>
  <si>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</si>
  <si>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</si>
  <si>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</si>
  <si>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</si>
  <si>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</si>
  <si>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</si>
  <si>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</si>
  <si>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</si>
  <si>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</si>
  <si>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</si>
  <si>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</si>
  <si>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</si>
  <si>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</si>
  <si>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</si>
  <si>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</si>
  <si>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</si>
  <si>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</si>
  <si>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</si>
  <si>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</si>
  <si>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</si>
  <si>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</si>
  <si>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</si>
  <si>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</si>
  <si>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</si>
  <si>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</si>
  <si>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</si>
  <si>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</si>
  <si>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</si>
  <si>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</si>
  <si>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</si>
  <si>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</si>
  <si>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</si>
  <si>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</si>
  <si>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</si>
  <si>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</si>
  <si>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</si>
  <si>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</si>
  <si>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</si>
  <si>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</si>
  <si>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</si>
  <si>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</si>
  <si>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</si>
  <si>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</si>
  <si>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</si>
  <si>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</si>
  <si>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</si>
  <si>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</si>
  <si>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</si>
  <si>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</si>
  <si>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</si>
  <si>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</si>
  <si>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</si>
  <si>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</si>
  <si>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</si>
  <si>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</si>
  <si>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</si>
  <si>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</si>
  <si>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</si>
  <si>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</si>
  <si>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</si>
  <si>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</si>
  <si>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</si>
  <si>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</si>
  <si>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</si>
  <si>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</si>
  <si>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</si>
  <si>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</si>
  <si>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</si>
  <si>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</si>
  <si>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</si>
  <si>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</si>
  <si>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</si>
  <si>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</si>
  <si>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</si>
  <si>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</si>
  <si>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</si>
  <si>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</si>
  <si>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</si>
  <si>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</si>
  <si>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</si>
  <si>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</si>
  <si>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</si>
  <si>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</si>
  <si>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</si>
  <si>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</si>
  <si>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</si>
  <si>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</si>
  <si>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</si>
  <si>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</si>
  <si>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</si>
  <si>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</si>
  <si>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</si>
  <si>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</si>
  <si>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</si>
  <si>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</si>
  <si>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</si>
  <si>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</si>
  <si>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</si>
  <si>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</si>
  <si>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</si>
  <si>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</si>
  <si>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</si>
  <si>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</si>
  <si>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</si>
  <si>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</si>
  <si>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</si>
  <si>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</si>
  <si>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</si>
  <si>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</si>
  <si>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</si>
  <si>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</si>
  <si>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</si>
  <si>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</si>
  <si>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</si>
  <si>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</si>
  <si>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</si>
  <si>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</si>
  <si>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</si>
  <si>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</si>
  <si>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</si>
  <si>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Vitaliy and Pie</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</si>
  <si>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</si>
  <si>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</si>
  <si>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</si>
  <si>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</si>
  <si>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</si>
  <si>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</si>
  <si>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</si>
  <si>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</si>
  <si>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</si>
  <si>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</si>
  <si>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</si>
  <si>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</si>
  <si>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</si>
  <si>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</si>
  <si>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</si>
  <si>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</si>
  <si>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</si>
  <si>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</si>
  <si>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</si>
  <si>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</si>
  <si>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</si>
  <si>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</si>
  <si>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</si>
  <si>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</si>
  <si>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</si>
  <si>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</si>
  <si>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</si>
  <si>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</si>
  <si>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</si>
  <si>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</si>
  <si>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</si>
  <si>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</si>
  <si>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</si>
  <si>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</si>
  <si>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</si>
  <si>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</si>
  <si>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</si>
  <si>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</si>
  <si>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</si>
  <si>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</si>
  <si>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</si>
  <si>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</si>
  <si>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</si>
  <si>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</si>
  <si>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</si>
  <si>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</si>
  <si>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</si>
  <si>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</si>
  <si>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</si>
  <si>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</si>
  <si>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</si>
  <si>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</si>
  <si>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</si>
  <si>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</si>
  <si>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</si>
  <si>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</si>
  <si>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</si>
  <si>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</si>
  <si>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</si>
  <si>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</si>
  <si>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</si>
  <si>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</si>
  <si>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</si>
  <si>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</si>
  <si>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</si>
  <si>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</si>
  <si>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</si>
  <si>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</si>
  <si>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</si>
  <si>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</si>
  <si>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</si>
  <si>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</si>
  <si>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</si>
  <si>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</si>
  <si>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</si>
  <si>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</si>
  <si>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</si>
  <si>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</si>
  <si>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</si>
  <si>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</si>
  <si>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</si>
  <si>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</si>
  <si>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</si>
  <si>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</si>
  <si>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</si>
  <si>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</si>
  <si>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</si>
  <si>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</si>
  <si>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OR in Matrix</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</si>
  <si>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</si>
  <si>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</si>
  <si>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</si>
  <si>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</si>
  <si>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</si>
  <si>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</si>
  <si>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</si>
  <si>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</si>
  <si>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</si>
  <si>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</si>
  <si>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</si>
  <si>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</si>
  <si>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</si>
  <si>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</si>
  <si>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</si>
  <si>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</si>
  <si>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</si>
  <si>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</si>
  <si>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</si>
  <si>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</si>
  <si>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</si>
  <si>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</si>
  <si>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</si>
  <si>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</si>
  <si>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</si>
  <si>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</si>
  <si>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</si>
  <si>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</si>
  <si>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</si>
  <si>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</si>
  <si>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</si>
  <si>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</si>
  <si>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</si>
  <si>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</si>
  <si>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</si>
  <si>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</si>
  <si>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</si>
  <si>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</si>
  <si>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</si>
  <si>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</si>
  <si>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</si>
  <si>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</si>
  <si>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</si>
  <si>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</si>
  <si>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</si>
  <si>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</si>
  <si>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</si>
  <si>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</si>
  <si>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</si>
  <si>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</si>
  <si>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</si>
  <si>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</si>
  <si>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</si>
  <si>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</si>
  <si>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</si>
  <si>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</si>
  <si>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</si>
  <si>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</si>
  <si>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</si>
  <si>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</si>
  <si>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</si>
  <si>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</si>
  <si>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</si>
  <si>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</si>
  <si>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</si>
  <si>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</si>
  <si>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</si>
  <si>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</si>
  <si>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</si>
  <si>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</si>
  <si>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</si>
  <si>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</si>
  <si>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</si>
  <si>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</si>
  <si>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</si>
  <si>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</si>
  <si>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</si>
  <si>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</si>
  <si>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</si>
  <si>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</si>
  <si>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</si>
  <si>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</si>
  <si>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</si>
  <si>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</si>
  <si>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</si>
  <si>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</si>
  <si>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</si>
  <si>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</si>
  <si>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</si>
  <si>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</si>
  <si>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</si>
  <si>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</si>
  <si>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</si>
  <si>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</si>
  <si>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rFont val="arial,sans,sans-serif"/>
      </rPr>
      <t xml:space="preserve">Remove the given link and write a comment. Start your comment with a classification for the problem: </t>
    </r>
    <r>
      <rPr>
        <rFont val="arial,sans,sans-serif"/>
        <b/>
      </rPr>
      <t>Useless, repeated idea, boring, normal, good problem, interesting problem or important problem</t>
    </r>
    <r>
      <rPr>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</si>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</sst>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51">
    <font>
      <sz val="10.0"/>
      <color rgb="FF000000"/>
      <name val="Arial"/>
    </font>
    <font>
      <b/>
      <name val="Arial"/>
    </font>
    <font>
      <name val="Arial"/>
    </font>
    <font>
      <u/>
      <color rgb="FF1155CC"/>
      <name val="Arial"/>
    </font>
    <font>
      <u/>
      <color rgb="FF1155CC"/>
      <name val="Arial"/>
    </font>
    <font>
      <u/>
      <color rgb="FF1155CC"/>
      <name val="Arial"/>
    </font>
    <font>
      <u/>
      <color rgb="FF0000FF"/>
      <name val="Arial"/>
    </font>
    <font>
      <b/>
      <u/>
      <color rgb="FF1155CC"/>
      <name val="Arial"/>
    </font>
    <font>
      <b/>
      <color rgb="FF000000"/>
      <name val="Arial"/>
    </font>
    <font>
      <u/>
      <color rgb="FF1155CC"/>
      <name val="Arial"/>
    </font>
    <font/>
    <font>
      <b/>
      <sz val="12.0"/>
      <name val="Arial"/>
    </font>
    <font>
      <b/>
      <u/>
      <sz val="12.0"/>
      <color rgb="FF1155CC"/>
      <name val="Arial"/>
    </font>
    <font>
      <b/>
      <u/>
      <sz val="12.0"/>
      <color rgb="FF1155CC"/>
      <name val="Arial"/>
    </font>
    <font>
      <u/>
      <sz val="10.0"/>
      <color rgb="FF1155CC"/>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color rgb="FF000000"/>
      <name val="Arial"/>
    </font>
    <font>
      <u/>
      <color rgb="FF0000FF"/>
    </font>
    <font>
      <i/>
      <name val="Arial"/>
    </font>
    <font>
      <color rgb="FF000000"/>
      <name val="'Arial'"/>
    </font>
    <font>
      <b/>
      <u/>
      <color rgb="FF1155CC"/>
      <name val="Arial"/>
    </font>
    <font>
      <b/>
      <u/>
      <color rgb="FF1155CC"/>
      <name val="Arial"/>
    </font>
    <font>
      <u/>
      <color rgb="FF0000FF"/>
    </font>
    <font>
      <u/>
      <color rgb="FF0000FF"/>
      <name val="Arial"/>
    </font>
    <font>
      <u/>
      <color rgb="FF0000FF"/>
    </font>
    <font>
      <u/>
      <color rgb="FF0000FF"/>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u/>
      <color rgb="FF0000FF"/>
      <name val="Arial"/>
    </font>
    <font>
      <u/>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rgb="FF0000FF"/>
      <name val="Arial"/>
    </font>
    <font>
      <u/>
      <color rgb="FF0000FF"/>
      <name val="Arial"/>
    </font>
    <font>
      <u/>
      <color rgb="FF0000FF"/>
    </font>
    <font>
      <b/>
      <u/>
      <color rgb="FF1155CC"/>
      <name val="Arial"/>
    </font>
    <font>
      <u/>
      <color rgb="FF1155CC"/>
      <name val="Arial"/>
    </font>
    <font>
      <u/>
      <color rgb="FF1155CC"/>
      <name val="Arial"/>
    </font>
    <font>
      <b/>
      <u/>
      <color rgb="FF1155CC"/>
      <name val="Arial"/>
    </font>
    <font>
      <b/>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1155CC"/>
      <name val="Arial"/>
    </font>
    <font>
      <b/>
      <u/>
      <color rgb="FF0000FF"/>
    </font>
    <font>
      <u/>
      <color rgb="FF0000FF"/>
    </font>
    <font>
      <u/>
      <color rgb="FF0000FF"/>
      <name val="Arial"/>
    </font>
    <font>
      <u/>
      <color rgb="FF0000FF"/>
    </font>
    <font>
      <u/>
      <color rgb="FF0000FF"/>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1155CC"/>
      <name val="Arial"/>
    </font>
    <font>
      <b/>
      <u/>
      <color rgb="FF1155CC"/>
      <name val="Arial"/>
    </font>
    <font>
      <u/>
      <color rgb="FF0000FF"/>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0000FF"/>
    </font>
    <font>
      <u/>
      <color rgb="FF1155CC"/>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font>
    <font>
      <b/>
      <u/>
      <color rgb="FF1155CC"/>
      <name val="Arial"/>
    </font>
    <font>
      <b/>
      <u/>
      <color rgb="FF1155CC"/>
      <name val="Arial"/>
    </font>
    <font>
      <b/>
      <u/>
      <color rgb="FF1155CC"/>
      <name val="Arial"/>
    </font>
    <font>
      <b/>
      <u/>
      <color rgb="FF1155CC"/>
      <name val="Arial"/>
    </font>
    <font>
      <b/>
      <sz val="18.0"/>
    </font>
    <font>
      <b/>
      <u/>
      <color rgb="FF0000FF"/>
    </font>
    <font>
      <u/>
      <color rgb="FF0000FF"/>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bottom/>
    </border>
    <border>
      <top/>
    </border>
  </borders>
  <cellStyleXfs count="1">
    <xf borderId="0" fillId="0" fontId="0" numFmtId="0" applyAlignment="1" applyFont="1"/>
  </cellStyleXfs>
  <cellXfs count="497">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shrinkToFit="0" wrapText="1"/>
    </xf>
    <xf borderId="0" fillId="2" fontId="3" numFmtId="0" xfId="0" applyAlignment="1" applyFont="1">
      <alignment horizontal="center" shrinkToFit="0" wrapText="1"/>
    </xf>
    <xf borderId="0" fillId="2" fontId="2" numFmtId="0" xfId="0" applyAlignment="1" applyFont="1">
      <alignment horizontal="left" shrinkToFit="0" vertical="center" wrapText="1"/>
    </xf>
    <xf borderId="0" fillId="2" fontId="1" numFmtId="0" xfId="0" applyAlignment="1" applyFont="1">
      <alignment readingOrder="0" shrinkToFit="0" wrapText="1"/>
    </xf>
    <xf borderId="0" fillId="2" fontId="4"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5" numFmtId="0" xfId="0" applyAlignment="1" applyFont="1">
      <alignment shrinkToFit="0" vertical="bottom" wrapText="1"/>
    </xf>
    <xf borderId="0" fillId="2" fontId="2" numFmtId="0" xfId="0" applyAlignment="1" applyFont="1">
      <alignment horizontal="center" shrinkToFit="0" vertical="center" wrapText="1"/>
    </xf>
    <xf borderId="0" fillId="2" fontId="6"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bottom" wrapText="1"/>
    </xf>
    <xf borderId="0" fillId="2" fontId="8" numFmtId="0" xfId="0" applyAlignment="1" applyFont="1">
      <alignment shrinkToFit="0" vertical="center" wrapText="1"/>
    </xf>
    <xf borderId="0" fillId="2" fontId="2" numFmtId="0" xfId="0" applyAlignment="1" applyFont="1">
      <alignment readingOrder="0" shrinkToFit="0" vertical="bottom" wrapText="1"/>
    </xf>
    <xf borderId="0" fillId="2" fontId="9" numFmtId="0" xfId="0" applyAlignment="1" applyFont="1">
      <alignment shrinkToFit="0" vertical="bottom" wrapText="1"/>
    </xf>
    <xf borderId="0" fillId="0" fontId="10"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3" fontId="11" numFmtId="0" xfId="0" applyAlignment="1" applyFill="1" applyFont="1">
      <alignment horizontal="left" readingOrder="0" shrinkToFit="0" vertical="center" wrapText="1"/>
    </xf>
    <xf borderId="0" fillId="4" fontId="12" numFmtId="0" xfId="0" applyAlignment="1" applyFill="1" applyFont="1">
      <alignment readingOrder="0" shrinkToFit="0" vertical="bottom" wrapText="1"/>
    </xf>
    <xf borderId="0" fillId="0" fontId="13" numFmtId="0" xfId="0" applyAlignment="1" applyFont="1">
      <alignment readingOrder="0" shrinkToFit="0" vertical="bottom" wrapText="1"/>
    </xf>
    <xf borderId="0" fillId="0" fontId="14" numFmtId="0" xfId="0" applyAlignment="1" applyFont="1">
      <alignment readingOrder="0" shrinkToFit="0" vertical="bottom" wrapText="1"/>
    </xf>
    <xf borderId="0" fillId="0" fontId="15" numFmtId="0" xfId="0" applyAlignment="1" applyFont="1">
      <alignment horizontal="left" readingOrder="0" shrinkToFit="0" vertical="center" wrapText="1"/>
    </xf>
    <xf borderId="0" fillId="3"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8" numFmtId="0" xfId="0" applyAlignment="1" applyFont="1">
      <alignment horizontal="left" readingOrder="0" shrinkToFit="0" wrapText="1"/>
    </xf>
    <xf borderId="0" fillId="2" fontId="2" numFmtId="0" xfId="0" applyAlignment="1" applyFont="1">
      <alignment shrinkToFit="0" vertical="bottom" wrapText="1"/>
    </xf>
    <xf borderId="0" fillId="2" fontId="2" numFmtId="0" xfId="0" applyAlignment="1" applyFont="1">
      <alignment horizontal="center" readingOrder="0" shrinkToFit="0" vertical="bottom" wrapText="1"/>
    </xf>
    <xf borderId="0" fillId="2" fontId="1" numFmtId="0" xfId="0" applyAlignment="1" applyFont="1">
      <alignment shrinkToFit="0" vertical="center" wrapText="1"/>
    </xf>
    <xf borderId="0" fillId="2" fontId="2" numFmtId="0" xfId="0" applyAlignment="1" applyFont="1">
      <alignment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2" fontId="1" numFmtId="0" xfId="0" applyAlignment="1" applyFont="1">
      <alignment readingOrder="0" shrinkToFit="0" vertical="center" wrapText="1"/>
    </xf>
    <xf borderId="0" fillId="2" fontId="2" numFmtId="0" xfId="0" applyAlignment="1" applyFont="1">
      <alignment readingOrder="0" shrinkToFit="0" vertical="bottom" wrapText="1"/>
    </xf>
    <xf borderId="0" fillId="2" fontId="16" numFmtId="0" xfId="0" applyAlignment="1" applyFont="1">
      <alignment shrinkToFit="0" vertical="bottom" wrapText="1"/>
    </xf>
    <xf borderId="1" fillId="2" fontId="2" numFmtId="0" xfId="0" applyAlignment="1" applyBorder="1" applyFont="1">
      <alignment readingOrder="0" shrinkToFit="0" vertical="bottom" wrapText="1"/>
    </xf>
    <xf borderId="2" fillId="0" fontId="10" numFmtId="0" xfId="0" applyAlignment="1" applyBorder="1" applyFont="1">
      <alignment shrinkToFit="0" wrapText="1"/>
    </xf>
    <xf borderId="3" fillId="0" fontId="10" numFmtId="0" xfId="0" applyAlignment="1" applyBorder="1" applyFont="1">
      <alignment shrinkToFit="0" wrapText="1"/>
    </xf>
    <xf borderId="0" fillId="0" fontId="17" numFmtId="0" xfId="0" applyAlignment="1" applyFont="1">
      <alignment horizontal="left" shrinkToFit="0" vertical="top" wrapText="1"/>
    </xf>
    <xf borderId="0" fillId="0" fontId="2" numFmtId="0" xfId="0" applyAlignment="1" applyFont="1">
      <alignment readingOrder="0" shrinkToFit="0" vertical="bottom" wrapText="1"/>
    </xf>
    <xf borderId="0" fillId="5" fontId="18" numFmtId="0" xfId="0" applyAlignment="1" applyFill="1" applyFont="1">
      <alignment shrinkToFit="0" vertical="bottom" wrapText="1"/>
    </xf>
    <xf borderId="0" fillId="0" fontId="2" numFmtId="0" xfId="0" applyAlignment="1" applyFont="1">
      <alignment shrinkToFit="0" vertical="bottom" wrapText="1"/>
    </xf>
    <xf borderId="0" fillId="6" fontId="19" numFmtId="0" xfId="0" applyAlignment="1" applyFill="1" applyFont="1">
      <alignment shrinkToFit="0" vertical="bottom" wrapText="1"/>
    </xf>
    <xf borderId="0" fillId="3" fontId="20" numFmtId="0" xfId="0" applyAlignment="1" applyFont="1">
      <alignment shrinkToFit="0" vertical="bottom" wrapText="0"/>
    </xf>
    <xf borderId="0" fillId="0" fontId="2" numFmtId="0" xfId="0" applyAlignment="1" applyFont="1">
      <alignment shrinkToFit="0" vertical="bottom" wrapText="1"/>
    </xf>
    <xf borderId="0" fillId="2" fontId="21" numFmtId="0" xfId="0" applyAlignment="1" applyFont="1">
      <alignment readingOrder="0" shrinkToFit="0" vertical="bottom" wrapText="1"/>
    </xf>
    <xf borderId="0" fillId="2" fontId="22" numFmtId="0" xfId="0" applyAlignment="1" applyFont="1">
      <alignment readingOrder="0" shrinkToFit="0" vertical="bottom" wrapText="0"/>
    </xf>
    <xf borderId="0" fillId="2" fontId="23" numFmtId="0" xfId="0" applyAlignment="1" applyFont="1">
      <alignment readingOrder="0" shrinkToFit="0" vertical="bottom" wrapText="0"/>
    </xf>
    <xf borderId="0" fillId="2" fontId="2" numFmtId="0" xfId="0" applyAlignment="1" applyFont="1">
      <alignment readingOrder="0" shrinkToFit="0" vertical="bottom" wrapText="0"/>
    </xf>
    <xf borderId="0" fillId="2" fontId="1" numFmtId="0" xfId="0" applyAlignment="1" applyFont="1">
      <alignment horizontal="left" shrinkToFit="0" vertical="center" wrapText="1"/>
    </xf>
    <xf borderId="0" fillId="2" fontId="24"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horizontal="left" readingOrder="0" shrinkToFit="0" wrapText="1"/>
    </xf>
    <xf borderId="0" fillId="7" fontId="10" numFmtId="0" xfId="0" applyAlignment="1" applyFill="1" applyFont="1">
      <alignment readingOrder="0" shrinkToFit="0" wrapText="1"/>
    </xf>
    <xf borderId="0" fillId="7" fontId="2" numFmtId="0" xfId="0" applyAlignment="1" applyFont="1">
      <alignment shrinkToFit="0" vertical="bottom" wrapText="1"/>
    </xf>
    <xf borderId="0" fillId="7" fontId="2" numFmtId="0" xfId="0" applyAlignment="1" applyFont="1">
      <alignment readingOrder="0" shrinkToFit="0" vertical="bottom" wrapText="1"/>
    </xf>
    <xf borderId="0" fillId="0" fontId="25" numFmtId="0" xfId="0" applyAlignment="1" applyFont="1">
      <alignment readingOrder="0" shrinkToFit="0" wrapText="1"/>
    </xf>
    <xf borderId="0" fillId="7" fontId="2" numFmtId="0" xfId="0" applyAlignment="1" applyFont="1">
      <alignment readingOrder="0" shrinkToFit="0" vertical="bottom" wrapText="1"/>
    </xf>
    <xf borderId="0" fillId="7" fontId="2" numFmtId="0" xfId="0" applyAlignment="1" applyFont="1">
      <alignment horizontal="center" readingOrder="0" shrinkToFit="0" vertical="center" wrapText="1"/>
    </xf>
    <xf borderId="0" fillId="7" fontId="2" numFmtId="164" xfId="0" applyAlignment="1" applyFont="1" applyNumberFormat="1">
      <alignment horizontal="center" readingOrder="0" shrinkToFit="0" vertical="center" wrapText="1"/>
    </xf>
    <xf borderId="0" fillId="7" fontId="2" numFmtId="0" xfId="0" applyAlignment="1" applyFont="1">
      <alignment horizontal="center" shrinkToFit="0" vertical="center" wrapText="1"/>
    </xf>
    <xf borderId="0" fillId="7" fontId="2" numFmtId="0" xfId="0" applyAlignment="1" applyFont="1">
      <alignment horizontal="center" shrinkToFit="0" vertical="center" wrapText="1"/>
    </xf>
    <xf borderId="0" fillId="7" fontId="2" numFmtId="0" xfId="0" applyAlignment="1" applyFont="1">
      <alignment horizontal="left" readingOrder="0" shrinkToFit="0" vertical="center" wrapText="0"/>
    </xf>
    <xf borderId="0" fillId="0" fontId="26" numFmtId="0" xfId="0" applyAlignment="1" applyFont="1">
      <alignment readingOrder="0" shrinkToFit="0" vertical="center" wrapText="0"/>
    </xf>
    <xf borderId="0" fillId="0" fontId="2" numFmtId="0" xfId="0" applyAlignment="1" applyFont="1">
      <alignment horizontal="center" shrinkToFit="0" vertical="center" wrapText="1"/>
    </xf>
    <xf borderId="0" fillId="8" fontId="2" numFmtId="0" xfId="0" applyAlignment="1" applyFill="1" applyFont="1">
      <alignment horizontal="center" shrinkToFit="0" vertical="bottom" wrapText="1"/>
    </xf>
    <xf borderId="0" fillId="8" fontId="2" numFmtId="0" xfId="0" applyAlignment="1" applyFont="1">
      <alignment horizontal="center" shrinkToFit="0" vertical="bottom" wrapText="1"/>
    </xf>
    <xf borderId="0" fillId="8" fontId="2" numFmtId="0" xfId="0" applyAlignment="1" applyFont="1">
      <alignment horizontal="center" shrinkToFit="0" vertical="bottom" wrapText="0"/>
    </xf>
    <xf borderId="0" fillId="8" fontId="2" numFmtId="0" xfId="0" applyAlignment="1" applyFont="1">
      <alignment horizontal="left" shrinkToFit="0" vertical="bottom"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7"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7"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9" fontId="2" numFmtId="0" xfId="0" applyAlignment="1" applyFill="1" applyFont="1">
      <alignment horizontal="center" shrinkToFit="0" vertical="center" wrapText="1"/>
    </xf>
    <xf borderId="0" fillId="10"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10" numFmtId="0" xfId="0" applyAlignment="1" applyFont="1">
      <alignment shrinkToFit="0"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8" numFmtId="0" xfId="0" applyAlignment="1" applyFont="1">
      <alignment horizontal="left" shrinkToFit="0" vertical="center" wrapText="0"/>
    </xf>
    <xf borderId="0" fillId="0" fontId="29" numFmtId="0" xfId="0" applyAlignment="1" applyFont="1">
      <alignment horizontal="left" shrinkToFit="0" vertical="center" wrapText="0"/>
    </xf>
    <xf borderId="0" fillId="0" fontId="10" numFmtId="0" xfId="0" applyAlignment="1" applyFont="1">
      <alignment readingOrder="0" shrinkToFit="0" vertical="center" wrapText="0"/>
    </xf>
    <xf borderId="0" fillId="0" fontId="30" numFmtId="0" xfId="0" applyAlignment="1" applyFont="1">
      <alignment horizontal="left" shrinkToFit="0" vertical="center" wrapText="1"/>
    </xf>
    <xf borderId="0" fillId="0" fontId="31" numFmtId="0" xfId="0" applyAlignment="1" applyFont="1">
      <alignment readingOrder="0" shrinkToFit="0" vertical="center" wrapText="0"/>
    </xf>
    <xf borderId="0" fillId="0" fontId="32" numFmtId="0" xfId="0" applyAlignment="1" applyFont="1">
      <alignment readingOrder="0" shrinkToFit="0" wrapText="0"/>
    </xf>
    <xf borderId="0" fillId="0" fontId="10" numFmtId="0" xfId="0" applyAlignment="1" applyFont="1">
      <alignment horizontal="left" shrinkToFit="0" vertical="center" wrapText="1"/>
    </xf>
    <xf borderId="0" fillId="0" fontId="26"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3" numFmtId="0" xfId="0" applyAlignment="1" applyFont="1">
      <alignment horizontal="left" readingOrder="0" shrinkToFit="0" vertical="center" wrapText="1"/>
    </xf>
    <xf borderId="0" fillId="0" fontId="34" numFmtId="0" xfId="0" applyAlignment="1" applyFont="1">
      <alignment horizontal="left" readingOrder="0" shrinkToFit="0" vertical="center" wrapText="0"/>
    </xf>
    <xf borderId="0" fillId="0" fontId="35" numFmtId="0" xfId="0" applyAlignment="1" applyFont="1">
      <alignment readingOrder="0" shrinkToFit="0" vertical="center" wrapText="0"/>
    </xf>
    <xf borderId="0" fillId="0" fontId="2" numFmtId="0" xfId="0" applyAlignment="1" applyFont="1">
      <alignment shrinkToFit="0" wrapText="0"/>
    </xf>
    <xf borderId="0" fillId="0" fontId="36" numFmtId="0" xfId="0" applyAlignment="1" applyFont="1">
      <alignment shrinkToFit="0" wrapText="1"/>
    </xf>
    <xf borderId="0" fillId="0" fontId="37" numFmtId="0" xfId="0" applyAlignment="1" applyFont="1">
      <alignment shrinkToFit="0" wrapText="0"/>
    </xf>
    <xf borderId="0" fillId="0" fontId="38" numFmtId="0" xfId="0" applyAlignment="1" applyFont="1">
      <alignment readingOrder="0" shrinkToFit="0" vertical="bottom" wrapText="0"/>
    </xf>
    <xf borderId="0" fillId="0" fontId="2" numFmtId="0" xfId="0" applyAlignment="1" applyFont="1">
      <alignment horizontal="left" shrinkToFit="0" vertical="bottom" wrapText="0"/>
    </xf>
    <xf borderId="0" fillId="0" fontId="39" numFmtId="0" xfId="0" applyAlignment="1" applyFont="1">
      <alignment horizontal="left" shrinkToFit="0" vertical="bottom" wrapText="1"/>
    </xf>
    <xf borderId="0" fillId="0" fontId="40" numFmtId="0" xfId="0" applyAlignment="1" applyFont="1">
      <alignment shrinkToFit="0" vertical="bottom" wrapText="0"/>
    </xf>
    <xf borderId="0" fillId="0" fontId="2" numFmtId="0" xfId="0" applyAlignment="1" applyFont="1">
      <alignment shrinkToFit="0" vertical="bottom" wrapText="0"/>
    </xf>
    <xf borderId="0" fillId="0" fontId="41" numFmtId="0" xfId="0" applyAlignment="1" applyFont="1">
      <alignment shrinkToFit="0" vertical="bottom" wrapText="1"/>
    </xf>
    <xf borderId="0" fillId="0" fontId="42" numFmtId="0" xfId="0" applyAlignment="1" applyFont="1">
      <alignment shrinkToFit="0" vertical="bottom" wrapText="0"/>
    </xf>
    <xf borderId="0" fillId="0" fontId="10"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left" shrinkToFit="0" wrapText="0"/>
    </xf>
    <xf borderId="0" fillId="0" fontId="43" numFmtId="0" xfId="0" applyAlignment="1" applyFont="1">
      <alignment horizontal="left" shrinkToFit="0" wrapText="1"/>
    </xf>
    <xf borderId="0" fillId="0" fontId="2" numFmtId="0" xfId="0" applyAlignment="1" applyFont="1">
      <alignment horizontal="center" shrinkToFit="0" vertical="bottom" wrapText="1"/>
    </xf>
    <xf borderId="0" fillId="0" fontId="2" numFmtId="0" xfId="0" applyAlignment="1" applyFont="1">
      <alignment horizontal="left" shrinkToFit="0" wrapText="0"/>
    </xf>
    <xf borderId="0" fillId="0" fontId="44" numFmtId="0" xfId="0" applyAlignment="1" applyFont="1">
      <alignment horizontal="left" shrinkToFit="0" wrapText="1"/>
    </xf>
    <xf borderId="0" fillId="0" fontId="2" numFmtId="0" xfId="0" applyAlignment="1" applyFont="1">
      <alignment horizontal="left" readingOrder="0" shrinkToFit="0" wrapText="0"/>
    </xf>
    <xf borderId="0" fillId="0" fontId="45"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46" numFmtId="0" xfId="0" applyAlignment="1" applyFont="1">
      <alignment shrinkToFit="0" vertical="bottom" wrapText="0"/>
    </xf>
    <xf borderId="0" fillId="0" fontId="2" numFmtId="0" xfId="0" applyAlignment="1" applyFont="1">
      <alignment horizontal="left" readingOrder="0" shrinkToFit="0" vertical="bottom" wrapText="0"/>
    </xf>
    <xf borderId="0" fillId="0" fontId="47" numFmtId="0" xfId="0" applyAlignment="1" applyFont="1">
      <alignment horizontal="left" shrinkToFit="0" vertical="bottom" wrapText="1"/>
    </xf>
    <xf borderId="0" fillId="0" fontId="48" numFmtId="0" xfId="0" applyAlignment="1" applyFont="1">
      <alignment shrinkToFit="0" wrapText="0"/>
    </xf>
    <xf borderId="0" fillId="11" fontId="2" numFmtId="0" xfId="0" applyAlignment="1" applyFill="1" applyFont="1">
      <alignment horizontal="left" readingOrder="0" shrinkToFit="0" vertical="bottom" wrapText="0"/>
    </xf>
    <xf borderId="0" fillId="5" fontId="2" numFmtId="0" xfId="0" applyAlignment="1" applyFont="1">
      <alignment shrinkToFit="0" wrapText="0"/>
    </xf>
    <xf borderId="0" fillId="5" fontId="49" numFmtId="0" xfId="0" applyAlignment="1" applyFont="1">
      <alignment shrinkToFit="0" wrapText="1"/>
    </xf>
    <xf borderId="0" fillId="0" fontId="50" numFmtId="0" xfId="0" applyAlignment="1" applyFont="1">
      <alignment shrinkToFit="0" wrapText="0"/>
    </xf>
    <xf borderId="0" fillId="5" fontId="51" numFmtId="0" xfId="0" applyAlignment="1" applyFont="1">
      <alignment readingOrder="0" shrinkToFit="0" wrapText="1"/>
    </xf>
    <xf borderId="0" fillId="0" fontId="52" numFmtId="0" xfId="0" applyAlignment="1" applyFont="1">
      <alignment readingOrder="0" shrinkToFit="0" wrapText="0"/>
    </xf>
    <xf borderId="0" fillId="6" fontId="2" numFmtId="0" xfId="0" applyAlignment="1" applyFont="1">
      <alignment readingOrder="0" shrinkToFit="0" vertical="bottom" wrapText="0"/>
    </xf>
    <xf borderId="0" fillId="6" fontId="53" numFmtId="0" xfId="0" applyAlignment="1" applyFont="1">
      <alignment readingOrder="0" shrinkToFit="0" vertical="bottom" wrapText="0"/>
    </xf>
    <xf borderId="0" fillId="0" fontId="54" numFmtId="0" xfId="0" applyAlignment="1" applyFont="1">
      <alignment horizontal="center" shrinkToFit="0" vertical="center" wrapText="1"/>
    </xf>
    <xf borderId="0" fillId="0" fontId="2" numFmtId="0" xfId="0" applyAlignment="1" applyFont="1">
      <alignment readingOrder="0" shrinkToFit="0" vertical="bottom" wrapText="0"/>
    </xf>
    <xf borderId="0" fillId="0" fontId="55" numFmtId="0" xfId="0" applyAlignment="1" applyFont="1">
      <alignment shrinkToFit="0" wrapText="0"/>
    </xf>
    <xf borderId="0" fillId="0" fontId="2" numFmtId="0" xfId="0" applyAlignment="1" applyFont="1">
      <alignment readingOrder="0" shrinkToFit="0" wrapText="0"/>
    </xf>
    <xf borderId="0" fillId="0" fontId="56" numFmtId="0" xfId="0" applyAlignment="1" applyFont="1">
      <alignment shrinkToFit="0" wrapText="1"/>
    </xf>
    <xf borderId="0" fillId="0" fontId="57" numFmtId="0" xfId="0" applyAlignment="1" applyFont="1">
      <alignment shrinkToFit="0" vertical="bottom" wrapText="0"/>
    </xf>
    <xf borderId="0" fillId="5" fontId="2" numFmtId="0" xfId="0" applyAlignment="1" applyFont="1">
      <alignment shrinkToFit="0" vertical="bottom" wrapText="0"/>
    </xf>
    <xf borderId="0" fillId="11" fontId="58" numFmtId="0" xfId="0" applyAlignment="1" applyFont="1">
      <alignment readingOrder="0" shrinkToFit="0" vertical="bottom" wrapText="0"/>
    </xf>
    <xf borderId="0" fillId="5" fontId="2" numFmtId="0" xfId="0" applyAlignment="1" applyFont="1">
      <alignment readingOrder="0" shrinkToFit="0" vertical="bottom" wrapText="0"/>
    </xf>
    <xf borderId="0" fillId="5" fontId="59" numFmtId="0" xfId="0" applyAlignment="1" applyFont="1">
      <alignment readingOrder="0" shrinkToFit="0" vertical="bottom" wrapText="1"/>
    </xf>
    <xf borderId="0" fillId="0" fontId="2" numFmtId="0" xfId="0" applyAlignment="1" applyFont="1">
      <alignment shrinkToFit="0" wrapText="0"/>
    </xf>
    <xf borderId="0" fillId="0" fontId="2" numFmtId="0" xfId="0" applyAlignment="1" applyFont="1">
      <alignment shrinkToFit="0" vertical="bottom" wrapText="0"/>
    </xf>
    <xf borderId="0" fillId="0" fontId="60" numFmtId="0" xfId="0" applyAlignment="1" applyFont="1">
      <alignment shrinkToFit="0" vertical="bottom" wrapText="0"/>
    </xf>
    <xf borderId="0" fillId="0" fontId="2" numFmtId="0" xfId="0" applyAlignment="1" applyFont="1">
      <alignment shrinkToFit="0" vertical="center" wrapText="0"/>
    </xf>
    <xf borderId="0" fillId="0" fontId="61" numFmtId="0" xfId="0" applyAlignment="1" applyFont="1">
      <alignment shrinkToFit="0" vertical="center" wrapText="1"/>
    </xf>
    <xf borderId="0" fillId="0" fontId="62" numFmtId="0" xfId="0" applyAlignment="1" applyFont="1">
      <alignment shrinkToFit="0" wrapText="0"/>
    </xf>
    <xf borderId="0" fillId="0" fontId="10" numFmtId="0" xfId="0" applyAlignment="1" applyFont="1">
      <alignment shrinkToFit="0" vertical="center" wrapText="0"/>
    </xf>
    <xf borderId="0" fillId="0" fontId="10" numFmtId="0" xfId="0" applyAlignment="1" applyFont="1">
      <alignment shrinkToFit="0" vertical="center" wrapText="1"/>
    </xf>
    <xf borderId="0" fillId="5" fontId="2" numFmtId="0" xfId="0" applyAlignment="1" applyFont="1">
      <alignment shrinkToFit="0" vertical="center" wrapText="0"/>
    </xf>
    <xf borderId="0" fillId="5" fontId="63" numFmtId="0" xfId="0" applyAlignment="1" applyFont="1">
      <alignment shrinkToFit="0" vertical="center" wrapText="0"/>
    </xf>
    <xf borderId="0" fillId="0" fontId="10" numFmtId="0" xfId="0" applyAlignment="1" applyFont="1">
      <alignment horizontal="center" shrinkToFit="0" vertical="center" wrapText="1"/>
    </xf>
    <xf borderId="0" fillId="0" fontId="64" numFmtId="0" xfId="0" applyAlignment="1" applyFont="1">
      <alignment readingOrder="0" shrinkToFit="0" vertical="center" wrapText="0"/>
    </xf>
    <xf borderId="0" fillId="0" fontId="65" numFmtId="0" xfId="0" applyAlignment="1" applyFont="1">
      <alignment readingOrder="0" shrinkToFit="0" vertical="bottom" wrapText="1"/>
    </xf>
    <xf borderId="0" fillId="0" fontId="66" numFmtId="0" xfId="0" applyAlignment="1" applyFont="1">
      <alignment horizontal="left" shrinkToFit="0" wrapText="1"/>
    </xf>
    <xf borderId="0" fillId="0" fontId="67" numFmtId="0" xfId="0" applyAlignment="1" applyFont="1">
      <alignment shrinkToFit="0" wrapText="0"/>
    </xf>
    <xf borderId="0" fillId="0" fontId="2" numFmtId="0" xfId="0" applyAlignment="1" applyFont="1">
      <alignment horizontal="left" readingOrder="0" shrinkToFit="0" wrapText="0"/>
    </xf>
    <xf borderId="0" fillId="0" fontId="68" numFmtId="0" xfId="0" applyAlignment="1" applyFont="1">
      <alignment shrinkToFit="0" vertical="center" wrapText="1"/>
    </xf>
    <xf borderId="0" fillId="0" fontId="69" numFmtId="0" xfId="0" applyAlignment="1" applyFont="1">
      <alignment readingOrder="0" shrinkToFit="0" vertical="center" wrapText="1"/>
    </xf>
    <xf borderId="0" fillId="0" fontId="10" numFmtId="0" xfId="0" applyAlignment="1" applyFont="1">
      <alignment readingOrder="0" shrinkToFit="0" vertical="center" wrapText="0"/>
    </xf>
    <xf borderId="0" fillId="5" fontId="2" numFmtId="0" xfId="0" applyAlignment="1" applyFont="1">
      <alignment shrinkToFit="0" wrapText="0"/>
    </xf>
    <xf borderId="0" fillId="5" fontId="70" numFmtId="0" xfId="0" applyAlignment="1" applyFont="1">
      <alignment shrinkToFit="0" vertical="center" wrapText="1"/>
    </xf>
    <xf borderId="0" fillId="5" fontId="2" numFmtId="0" xfId="0" applyAlignment="1" applyFont="1">
      <alignment readingOrder="0" shrinkToFit="0" vertical="center" wrapText="0"/>
    </xf>
    <xf borderId="0" fillId="5" fontId="71" numFmtId="0" xfId="0" applyAlignment="1" applyFont="1">
      <alignment shrinkToFit="0" vertical="center" wrapText="0"/>
    </xf>
    <xf borderId="0" fillId="12" fontId="2" numFmtId="0" xfId="0" applyAlignment="1" applyFill="1" applyFont="1">
      <alignment shrinkToFit="0" vertical="center" wrapText="0"/>
    </xf>
    <xf borderId="0" fillId="12" fontId="2" numFmtId="0" xfId="0" applyAlignment="1" applyFont="1">
      <alignment shrinkToFit="0" vertical="center" wrapText="1"/>
    </xf>
    <xf borderId="0" fillId="12" fontId="2" numFmtId="0" xfId="0" applyAlignment="1" applyFont="1">
      <alignment horizontal="center" shrinkToFit="0" vertical="center" wrapText="1"/>
    </xf>
    <xf borderId="0" fillId="12" fontId="2" numFmtId="0" xfId="0" applyAlignment="1" applyFont="1">
      <alignment horizontal="center" shrinkToFit="0" vertical="center" wrapText="1"/>
    </xf>
    <xf borderId="0" fillId="12" fontId="2" numFmtId="0" xfId="0" applyAlignment="1" applyFont="1">
      <alignment horizontal="center" shrinkToFit="0" vertical="center" wrapText="1"/>
    </xf>
    <xf borderId="0" fillId="7" fontId="2" numFmtId="0" xfId="0" applyAlignment="1" applyFont="1">
      <alignment horizontal="center" shrinkToFit="0" vertical="center" wrapText="1"/>
    </xf>
    <xf borderId="0" fillId="7" fontId="2" numFmtId="0" xfId="0" applyAlignment="1" applyFont="1">
      <alignment horizontal="left" readingOrder="0" shrinkToFit="0" vertical="center" wrapText="1"/>
    </xf>
    <xf borderId="0" fillId="0" fontId="2" numFmtId="0" xfId="0" applyAlignment="1" applyFont="1">
      <alignment horizontal="right" shrinkToFit="0" vertical="bottom" wrapText="1"/>
    </xf>
    <xf borderId="0" fillId="0" fontId="72" numFmtId="0" xfId="0" applyAlignment="1" applyFont="1">
      <alignment shrinkToFit="0" vertical="center" wrapText="1"/>
    </xf>
    <xf borderId="0" fillId="7" fontId="2" numFmtId="164" xfId="0" applyAlignment="1" applyFont="1" applyNumberFormat="1">
      <alignment horizontal="center" shrinkToFit="0" vertical="center" wrapText="0"/>
    </xf>
    <xf borderId="0" fillId="0" fontId="26"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3" numFmtId="0" xfId="0" applyAlignment="1" applyFont="1">
      <alignment horizontal="left" shrinkToFit="0" vertical="top" wrapText="0"/>
    </xf>
    <xf borderId="0" fillId="0" fontId="74" numFmtId="0" xfId="0" applyAlignment="1" applyFont="1">
      <alignment horizontal="left" readingOrder="0" shrinkToFit="0" vertical="top" wrapText="0"/>
    </xf>
    <xf borderId="0" fillId="0" fontId="2" numFmtId="0" xfId="0" applyAlignment="1" applyFont="1">
      <alignment shrinkToFit="0" vertical="bottom" wrapText="0"/>
    </xf>
    <xf borderId="0" fillId="0" fontId="75" numFmtId="0" xfId="0" applyAlignment="1" applyFont="1">
      <alignment shrinkToFit="0" vertical="bottom" wrapText="1"/>
    </xf>
    <xf borderId="0" fillId="0" fontId="76" numFmtId="0" xfId="0" applyAlignment="1" applyFont="1">
      <alignment horizontal="left" shrinkToFit="0" vertical="top" wrapText="0"/>
    </xf>
    <xf borderId="0" fillId="0" fontId="10" numFmtId="0" xfId="0" applyAlignment="1" applyFont="1">
      <alignment readingOrder="0" shrinkToFit="0" wrapText="0"/>
    </xf>
    <xf borderId="0" fillId="0" fontId="77" numFmtId="0" xfId="0" applyAlignment="1" applyFont="1">
      <alignment horizontal="left" shrinkToFit="0" vertical="top" wrapText="0"/>
    </xf>
    <xf borderId="0" fillId="5" fontId="78" numFmtId="0" xfId="0" applyAlignment="1" applyFont="1">
      <alignment shrinkToFit="0" vertical="bottom" wrapText="1"/>
    </xf>
    <xf borderId="0" fillId="0" fontId="79" numFmtId="0" xfId="0" applyAlignment="1" applyFont="1">
      <alignment horizontal="left" readingOrder="0" shrinkToFit="0" vertical="bottom" wrapText="0"/>
    </xf>
    <xf borderId="0" fillId="6" fontId="2" numFmtId="0" xfId="0" applyAlignment="1" applyFont="1">
      <alignment shrinkToFit="0" vertical="bottom" wrapText="0"/>
    </xf>
    <xf borderId="0" fillId="6" fontId="80" numFmtId="0" xfId="0" applyAlignment="1" applyFont="1">
      <alignment shrinkToFit="0" vertical="bottom" wrapText="0"/>
    </xf>
    <xf borderId="0" fillId="0" fontId="2" numFmtId="0" xfId="0" applyAlignment="1" applyFont="1">
      <alignment readingOrder="0" shrinkToFit="0" vertical="center" wrapText="0"/>
    </xf>
    <xf borderId="0" fillId="6" fontId="81" numFmtId="0" xfId="0" applyAlignment="1" applyFont="1">
      <alignment readingOrder="0" shrinkToFit="0" vertical="bottom" wrapText="0"/>
    </xf>
    <xf borderId="0" fillId="0" fontId="2" numFmtId="0" xfId="0" applyAlignment="1" applyFont="1">
      <alignment readingOrder="0" shrinkToFit="0" vertical="center" wrapText="0"/>
    </xf>
    <xf borderId="0" fillId="0" fontId="82" numFmtId="0" xfId="0" applyAlignment="1" applyFont="1">
      <alignment readingOrder="0" shrinkToFit="0" vertical="bottom" wrapText="0"/>
    </xf>
    <xf borderId="0" fillId="0" fontId="83" numFmtId="0" xfId="0" applyAlignment="1" applyFont="1">
      <alignment horizontal="left" shrinkToFit="0" vertical="bottom" wrapText="1"/>
    </xf>
    <xf borderId="0" fillId="0" fontId="84" numFmtId="0" xfId="0" applyAlignment="1" applyFont="1">
      <alignment horizontal="left" shrinkToFit="0" vertical="bottom" wrapText="1"/>
    </xf>
    <xf borderId="0" fillId="6" fontId="2" numFmtId="0" xfId="0" applyAlignment="1" applyFont="1">
      <alignment readingOrder="0" shrinkToFit="0" vertical="bottom" wrapText="1"/>
    </xf>
    <xf borderId="0" fillId="6" fontId="85" numFmtId="0" xfId="0" applyAlignment="1" applyFont="1">
      <alignment readingOrder="0" shrinkToFit="0" vertical="bottom" wrapText="1"/>
    </xf>
    <xf borderId="0" fillId="0" fontId="86" numFmtId="0" xfId="0" applyAlignment="1" applyFont="1">
      <alignment readingOrder="0" shrinkToFit="0" vertical="bottom" wrapText="0"/>
    </xf>
    <xf borderId="0" fillId="0" fontId="87" numFmtId="0" xfId="0" applyAlignment="1" applyFont="1">
      <alignment shrinkToFit="0" vertical="bottom" wrapText="0"/>
    </xf>
    <xf borderId="0" fillId="0" fontId="88" numFmtId="0" xfId="0" applyAlignment="1" applyFont="1">
      <alignment readingOrder="0" shrinkToFit="0" vertical="bottom" wrapText="0"/>
    </xf>
    <xf borderId="0" fillId="0" fontId="89" numFmtId="0" xfId="0" applyAlignment="1" applyFont="1">
      <alignment horizontal="left" readingOrder="0" shrinkToFit="0" vertical="top" wrapText="0"/>
    </xf>
    <xf borderId="0" fillId="5" fontId="90" numFmtId="0" xfId="0" applyAlignment="1" applyFont="1">
      <alignment shrinkToFit="0" vertical="bottom" wrapText="0"/>
    </xf>
    <xf borderId="0" fillId="6" fontId="91" numFmtId="0" xfId="0" applyAlignment="1" applyFont="1">
      <alignment shrinkToFit="0" vertical="bottom" wrapText="1"/>
    </xf>
    <xf borderId="0" fillId="0" fontId="92" numFmtId="0" xfId="0" applyAlignment="1" applyFont="1">
      <alignment shrinkToFit="0" wrapText="1"/>
    </xf>
    <xf borderId="0" fillId="0" fontId="93" numFmtId="0" xfId="0" applyAlignment="1" applyFont="1">
      <alignment shrinkToFit="0" vertical="bottom" wrapText="1"/>
    </xf>
    <xf borderId="0" fillId="0" fontId="94" numFmtId="0" xfId="0" applyAlignment="1" applyFont="1">
      <alignment shrinkToFit="0" vertical="bottom" wrapText="1"/>
    </xf>
    <xf borderId="0" fillId="0" fontId="2" numFmtId="0" xfId="0" applyAlignment="1" applyFont="1">
      <alignment readingOrder="0" shrinkToFit="0" vertical="bottom" wrapText="0"/>
    </xf>
    <xf borderId="0" fillId="0" fontId="95" numFmtId="0" xfId="0" applyAlignment="1" applyFont="1">
      <alignment shrinkToFit="0" vertical="bottom" wrapText="1"/>
    </xf>
    <xf borderId="0" fillId="0" fontId="96" numFmtId="0" xfId="0" applyAlignment="1" applyFont="1">
      <alignment readingOrder="0" shrinkToFit="0" wrapText="1"/>
    </xf>
    <xf borderId="0" fillId="0" fontId="97" numFmtId="0" xfId="0" applyAlignment="1" applyFont="1">
      <alignment shrinkToFit="0" wrapText="0"/>
    </xf>
    <xf borderId="0" fillId="0" fontId="98" numFmtId="0" xfId="0" applyAlignment="1" applyFont="1">
      <alignment horizontal="left" readingOrder="0" shrinkToFit="0" vertical="bottom" wrapText="1"/>
    </xf>
    <xf borderId="0" fillId="0" fontId="99" numFmtId="0" xfId="0" applyAlignment="1" applyFont="1">
      <alignment readingOrder="0" shrinkToFit="0" vertical="center" wrapText="0"/>
    </xf>
    <xf borderId="0" fillId="5" fontId="2" numFmtId="0" xfId="0" applyAlignment="1" applyFont="1">
      <alignment shrinkToFit="0" vertical="bottom" wrapText="0"/>
    </xf>
    <xf borderId="0" fillId="5" fontId="100" numFmtId="0" xfId="0" applyAlignment="1" applyFont="1">
      <alignment shrinkToFit="0" vertical="bottom" wrapText="0"/>
    </xf>
    <xf borderId="0" fillId="5" fontId="101" numFmtId="0" xfId="0" applyAlignment="1" applyFont="1">
      <alignment shrinkToFit="0" vertical="bottom" wrapText="0"/>
    </xf>
    <xf borderId="0" fillId="6" fontId="2" numFmtId="0" xfId="0" applyAlignment="1" applyFont="1">
      <alignment shrinkToFit="0" vertical="bottom" wrapText="0"/>
    </xf>
    <xf borderId="0" fillId="6" fontId="102" numFmtId="0" xfId="0" applyAlignment="1" applyFont="1">
      <alignment readingOrder="0" shrinkToFit="0" vertical="bottom" wrapText="0"/>
    </xf>
    <xf borderId="0" fillId="0" fontId="2" numFmtId="0" xfId="0" applyAlignment="1" applyFont="1">
      <alignment readingOrder="0" shrinkToFit="0" vertical="bottom" wrapText="1"/>
    </xf>
    <xf borderId="0" fillId="12" fontId="2" numFmtId="0" xfId="0" applyAlignment="1" applyFont="1">
      <alignment shrinkToFit="0" vertical="bottom" wrapText="0"/>
    </xf>
    <xf borderId="0" fillId="12" fontId="2" numFmtId="0" xfId="0" applyAlignment="1" applyFont="1">
      <alignment shrinkToFit="0" vertical="bottom" wrapText="1"/>
    </xf>
    <xf borderId="0" fillId="12" fontId="2" numFmtId="0" xfId="0" applyAlignment="1" applyFont="1">
      <alignment horizontal="center" shrinkToFit="0" vertical="bottom" wrapText="1"/>
    </xf>
    <xf borderId="0" fillId="12" fontId="2" numFmtId="0" xfId="0" applyAlignment="1" applyFont="1">
      <alignment horizontal="center" shrinkToFit="0" vertical="bottom" wrapText="1"/>
    </xf>
    <xf borderId="0" fillId="7" fontId="2" numFmtId="0" xfId="0" applyAlignment="1" applyFont="1">
      <alignment horizontal="center" shrinkToFit="0" vertical="bottom" wrapText="1"/>
    </xf>
    <xf borderId="0" fillId="0" fontId="2" numFmtId="0" xfId="0" applyAlignment="1" applyFont="1">
      <alignment shrinkToFit="0" vertical="top" wrapText="1"/>
    </xf>
    <xf borderId="0" fillId="7" fontId="2" numFmtId="164"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10" numFmtId="0" xfId="0" applyAlignment="1" applyFont="1">
      <alignment shrinkToFit="0" wrapText="0"/>
    </xf>
    <xf borderId="0" fillId="0" fontId="2" numFmtId="0" xfId="0" applyAlignment="1" applyFont="1">
      <alignment readingOrder="0" shrinkToFit="0" vertical="bottom" wrapText="1"/>
    </xf>
    <xf borderId="0" fillId="0" fontId="103" numFmtId="0" xfId="0" applyAlignment="1" applyFont="1">
      <alignment horizontal="left" shrinkToFit="0" vertical="bottom" wrapText="0"/>
    </xf>
    <xf borderId="0" fillId="0" fontId="104" numFmtId="0" xfId="0" applyAlignment="1" applyFont="1">
      <alignment shrinkToFit="0" wrapText="0"/>
    </xf>
    <xf borderId="0" fillId="6" fontId="2" numFmtId="0" xfId="0" applyAlignment="1" applyFont="1">
      <alignment shrinkToFit="0" vertical="bottom" wrapText="0"/>
    </xf>
    <xf borderId="0" fillId="6" fontId="105" numFmtId="0" xfId="0" applyAlignment="1" applyFont="1">
      <alignment shrinkToFit="0" vertical="bottom" wrapText="0"/>
    </xf>
    <xf borderId="0" fillId="6" fontId="106" numFmtId="0" xfId="0" applyAlignment="1" applyFont="1">
      <alignment readingOrder="0" shrinkToFit="0" vertical="bottom" wrapText="0"/>
    </xf>
    <xf borderId="0" fillId="3" fontId="2" numFmtId="0" xfId="0" applyAlignment="1" applyFont="1">
      <alignment shrinkToFit="0" vertical="bottom" wrapText="0"/>
    </xf>
    <xf borderId="0" fillId="5" fontId="107" numFmtId="0" xfId="0" applyAlignment="1" applyFont="1">
      <alignment horizontal="left" shrinkToFit="0" vertical="center" wrapText="0"/>
    </xf>
    <xf borderId="0" fillId="5" fontId="108" numFmtId="0" xfId="0" applyAlignment="1" applyFont="1">
      <alignment shrinkToFit="0" vertical="bottom" wrapText="0"/>
    </xf>
    <xf borderId="0" fillId="6" fontId="109" numFmtId="0" xfId="0" applyAlignment="1" applyFont="1">
      <alignment shrinkToFit="0" vertical="bottom" wrapText="0"/>
    </xf>
    <xf borderId="0" fillId="0" fontId="110" numFmtId="0" xfId="0" applyAlignment="1" applyFont="1">
      <alignment horizontal="left" shrinkToFit="0" vertical="bottom" wrapText="0"/>
    </xf>
    <xf borderId="0" fillId="6" fontId="2" numFmtId="0" xfId="0" applyAlignment="1" applyFont="1">
      <alignment readingOrder="0" shrinkToFit="0" vertical="bottom" wrapText="0"/>
    </xf>
    <xf borderId="0" fillId="6" fontId="111" numFmtId="0" xfId="0" applyAlignment="1" applyFont="1">
      <alignment readingOrder="0" shrinkToFit="0" vertical="bottom" wrapText="0"/>
    </xf>
    <xf borderId="0" fillId="0" fontId="112" numFmtId="0" xfId="0" applyAlignment="1" applyFont="1">
      <alignment shrinkToFit="0" vertical="bottom" wrapText="0"/>
    </xf>
    <xf borderId="0" fillId="5" fontId="113" numFmtId="0" xfId="0" applyAlignment="1" applyFont="1">
      <alignment readingOrder="0" shrinkToFit="0" vertical="bottom" wrapText="0"/>
    </xf>
    <xf borderId="0" fillId="5" fontId="114" numFmtId="0" xfId="0" applyAlignment="1" applyFont="1">
      <alignment shrinkToFit="0" vertical="bottom" wrapText="0"/>
    </xf>
    <xf borderId="0" fillId="0" fontId="27" numFmtId="0" xfId="0" applyAlignment="1" applyFont="1">
      <alignment readingOrder="0" shrinkToFit="0" wrapText="1"/>
    </xf>
    <xf borderId="0" fillId="0" fontId="115" numFmtId="0" xfId="0" applyAlignment="1" applyFont="1">
      <alignment readingOrder="0" shrinkToFit="0" wrapText="0"/>
    </xf>
    <xf borderId="0" fillId="0" fontId="116" numFmtId="0" xfId="0" applyAlignment="1" applyFont="1">
      <alignment horizontal="left" shrinkToFit="0" vertical="bottom" wrapText="1"/>
    </xf>
    <xf borderId="0" fillId="0" fontId="117" numFmtId="0" xfId="0" applyAlignment="1" applyFont="1">
      <alignment shrinkToFit="0" vertical="bottom" wrapText="0"/>
    </xf>
    <xf borderId="0" fillId="0" fontId="118"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6" fontId="119" numFmtId="0" xfId="0" applyAlignment="1" applyFont="1">
      <alignment readingOrder="0" shrinkToFit="0" vertical="bottom" wrapText="0"/>
    </xf>
    <xf borderId="0" fillId="0" fontId="120" numFmtId="0" xfId="0" applyAlignment="1" applyFont="1">
      <alignment readingOrder="0" shrinkToFit="0" vertical="bottom" wrapText="1"/>
    </xf>
    <xf borderId="0" fillId="0" fontId="121" numFmtId="0" xfId="0" applyAlignment="1" applyFont="1">
      <alignment horizontal="left" shrinkToFit="0" vertical="bottom" wrapText="0"/>
    </xf>
    <xf borderId="0" fillId="3" fontId="122" numFmtId="0" xfId="0" applyAlignment="1" applyFont="1">
      <alignment shrinkToFit="0" vertical="bottom" wrapText="0"/>
    </xf>
    <xf borderId="0" fillId="0" fontId="123" numFmtId="0" xfId="0" applyAlignment="1" applyFont="1">
      <alignment readingOrder="0" shrinkToFit="0" wrapText="0"/>
    </xf>
    <xf borderId="0" fillId="5" fontId="124" numFmtId="0" xfId="0" applyAlignment="1" applyFont="1">
      <alignment readingOrder="0" shrinkToFit="0" vertical="bottom" wrapText="0"/>
    </xf>
    <xf borderId="0" fillId="0" fontId="125" numFmtId="0" xfId="0" applyAlignment="1" applyFont="1">
      <alignment readingOrder="0" shrinkToFit="0" wrapText="0"/>
    </xf>
    <xf borderId="0" fillId="0" fontId="126"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27" numFmtId="0" xfId="0" applyAlignment="1" applyFont="1">
      <alignment shrinkToFit="0" vertical="bottom" wrapText="0"/>
    </xf>
    <xf borderId="0" fillId="0" fontId="24" numFmtId="0" xfId="0" applyAlignment="1" applyFont="1">
      <alignment shrinkToFit="0" vertical="bottom" wrapText="1"/>
    </xf>
    <xf borderId="0" fillId="0" fontId="128" numFmtId="0" xfId="0" applyAlignment="1" applyFont="1">
      <alignment horizontal="left" readingOrder="0" shrinkToFit="0" vertical="top" wrapText="0"/>
    </xf>
    <xf borderId="0" fillId="0" fontId="129" numFmtId="0" xfId="0" applyAlignment="1" applyFont="1">
      <alignment horizontal="left" shrinkToFit="0" vertical="top" wrapText="0"/>
    </xf>
    <xf borderId="0" fillId="3" fontId="130" numFmtId="0" xfId="0" applyAlignment="1" applyFont="1">
      <alignment shrinkToFit="0" vertical="bottom" wrapText="0"/>
    </xf>
    <xf borderId="0" fillId="0" fontId="131" numFmtId="0" xfId="0" applyAlignment="1" applyFont="1">
      <alignment shrinkToFit="0" vertical="bottom" wrapText="1"/>
    </xf>
    <xf borderId="0" fillId="5" fontId="132" numFmtId="0" xfId="0" applyAlignment="1" applyFont="1">
      <alignment readingOrder="0" shrinkToFit="0" vertical="bottom" wrapText="0"/>
    </xf>
    <xf borderId="0" fillId="0" fontId="133" numFmtId="0" xfId="0" applyAlignment="1" applyFont="1">
      <alignment shrinkToFit="0" vertical="bottom" wrapText="0"/>
    </xf>
    <xf borderId="4" fillId="5" fontId="2" numFmtId="0" xfId="0" applyAlignment="1" applyBorder="1" applyFont="1">
      <alignment shrinkToFit="0" vertical="bottom" wrapText="0"/>
    </xf>
    <xf borderId="5" fillId="5" fontId="134" numFmtId="0" xfId="0" applyAlignment="1" applyBorder="1" applyFont="1">
      <alignment shrinkToFit="0" vertical="bottom" wrapText="0"/>
    </xf>
    <xf borderId="0" fillId="0" fontId="135" numFmtId="0" xfId="0" applyAlignment="1" applyFont="1">
      <alignment horizontal="left" shrinkToFit="0" vertical="top" wrapText="0"/>
    </xf>
    <xf borderId="6" fillId="5" fontId="136" numFmtId="0" xfId="0" applyAlignment="1" applyBorder="1" applyFont="1">
      <alignment shrinkToFit="0" vertical="bottom" wrapText="0"/>
    </xf>
    <xf borderId="7" fillId="5" fontId="2" numFmtId="0" xfId="0" applyAlignment="1" applyBorder="1" applyFont="1">
      <alignment shrinkToFit="0" vertical="bottom" wrapText="0"/>
    </xf>
    <xf borderId="0" fillId="0" fontId="137" numFmtId="0" xfId="0" applyAlignment="1" applyFont="1">
      <alignment horizontal="left" shrinkToFit="0" vertical="bottom" wrapText="0"/>
    </xf>
    <xf borderId="0" fillId="6" fontId="138" numFmtId="0" xfId="0" applyAlignment="1" applyFont="1">
      <alignment shrinkToFit="0" vertical="bottom" wrapText="0"/>
    </xf>
    <xf borderId="0" fillId="11" fontId="139" numFmtId="0" xfId="0" applyAlignment="1" applyFont="1">
      <alignment readingOrder="0" shrinkToFit="0" vertical="bottom" wrapText="0"/>
    </xf>
    <xf borderId="0" fillId="6" fontId="140" numFmtId="0" xfId="0" applyAlignment="1" applyFont="1">
      <alignment shrinkToFit="0" vertical="bottom" wrapText="0"/>
    </xf>
    <xf borderId="0" fillId="0" fontId="141" numFmtId="0" xfId="0" applyAlignment="1" applyFont="1">
      <alignment shrinkToFit="0" vertical="bottom" wrapText="0"/>
    </xf>
    <xf borderId="4" fillId="6" fontId="2" numFmtId="0" xfId="0" applyAlignment="1" applyBorder="1" applyFont="1">
      <alignment shrinkToFit="0" vertical="bottom" wrapText="0"/>
    </xf>
    <xf borderId="5" fillId="6" fontId="142" numFmtId="0" xfId="0" applyAlignment="1" applyBorder="1" applyFont="1">
      <alignment shrinkToFit="0" vertical="bottom" wrapText="0"/>
    </xf>
    <xf borderId="0" fillId="0" fontId="10" numFmtId="0" xfId="0" applyAlignment="1" applyFont="1">
      <alignment horizontal="left" readingOrder="0" shrinkToFit="0" wrapText="1"/>
    </xf>
    <xf borderId="0" fillId="3" fontId="143" numFmtId="0" xfId="0" applyAlignment="1" applyFont="1">
      <alignment shrinkToFit="0" vertical="bottom" wrapText="1"/>
    </xf>
    <xf borderId="4" fillId="6" fontId="144" numFmtId="0" xfId="0" applyAlignment="1" applyBorder="1" applyFont="1">
      <alignment shrinkToFit="0" vertical="bottom" wrapText="0"/>
    </xf>
    <xf borderId="0" fillId="0" fontId="145" numFmtId="0" xfId="0" applyAlignment="1" applyFont="1">
      <alignment horizontal="left" shrinkToFit="0" vertical="center" wrapText="1"/>
    </xf>
    <xf borderId="0" fillId="6" fontId="2" numFmtId="0" xfId="0" applyAlignment="1" applyFont="1">
      <alignment shrinkToFit="0" vertical="bottom" wrapText="0"/>
    </xf>
    <xf borderId="0" fillId="6" fontId="146"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1"/>
    </xf>
    <xf borderId="0" fillId="5" fontId="2" numFmtId="0" xfId="0" applyAlignment="1" applyFont="1">
      <alignment horizontal="left" shrinkToFit="0" vertical="bottom" wrapText="0"/>
    </xf>
    <xf borderId="0" fillId="5" fontId="147" numFmtId="0" xfId="0" applyAlignment="1" applyFont="1">
      <alignment horizontal="left" shrinkToFit="0" vertical="bottom" wrapText="0"/>
    </xf>
    <xf borderId="6" fillId="5" fontId="2" numFmtId="0" xfId="0" applyAlignment="1" applyBorder="1" applyFont="1">
      <alignment horizontal="left" shrinkToFit="0" vertical="bottom" wrapText="0"/>
    </xf>
    <xf borderId="6" fillId="5" fontId="148" numFmtId="0" xfId="0" applyAlignment="1" applyBorder="1" applyFont="1">
      <alignment horizontal="left" shrinkToFit="0" vertical="bottom" wrapText="0"/>
    </xf>
    <xf borderId="4" fillId="5" fontId="2" numFmtId="0" xfId="0" applyAlignment="1" applyBorder="1" applyFont="1">
      <alignment horizontal="left" shrinkToFit="0" vertical="bottom" wrapText="0"/>
    </xf>
    <xf borderId="6" fillId="5" fontId="2" numFmtId="0" xfId="0" applyAlignment="1" applyBorder="1" applyFont="1">
      <alignment horizontal="left" readingOrder="0" shrinkToFit="0" vertical="bottom" wrapText="0"/>
    </xf>
    <xf borderId="6" fillId="5" fontId="149" numFmtId="0" xfId="0" applyAlignment="1" applyBorder="1" applyFont="1">
      <alignment horizontal="left" readingOrder="0" shrinkToFit="0" vertical="bottom" wrapText="0"/>
    </xf>
    <xf borderId="0" fillId="5" fontId="2" numFmtId="0" xfId="0" applyAlignment="1" applyFont="1">
      <alignment horizontal="left" readingOrder="0" shrinkToFit="0" vertical="bottom" wrapText="0"/>
    </xf>
    <xf borderId="0" fillId="5" fontId="150" numFmtId="0" xfId="0" applyAlignment="1" applyFont="1">
      <alignment horizontal="left" readingOrder="0" shrinkToFit="0" vertical="bottom" wrapText="0"/>
    </xf>
    <xf borderId="4" fillId="5" fontId="2" numFmtId="0" xfId="0" applyAlignment="1" applyBorder="1" applyFont="1">
      <alignment shrinkToFit="0" vertical="bottom" wrapText="0"/>
    </xf>
    <xf borderId="5" fillId="5" fontId="151" numFmtId="0" xfId="0" applyAlignment="1" applyBorder="1" applyFont="1">
      <alignment shrinkToFit="0" vertical="bottom" wrapText="0"/>
    </xf>
    <xf borderId="6" fillId="6" fontId="152" numFmtId="0" xfId="0" applyAlignment="1" applyBorder="1" applyFont="1">
      <alignment shrinkToFit="0" vertical="bottom" wrapText="0"/>
    </xf>
    <xf borderId="6" fillId="6" fontId="2" numFmtId="0" xfId="0" applyAlignment="1" applyBorder="1" applyFont="1">
      <alignment shrinkToFit="0" vertical="bottom" wrapText="0"/>
    </xf>
    <xf borderId="5" fillId="6" fontId="2" numFmtId="0" xfId="0" applyAlignment="1" applyBorder="1" applyFont="1">
      <alignment shrinkToFit="0" vertical="bottom" wrapText="0"/>
    </xf>
    <xf borderId="5" fillId="6" fontId="153" numFmtId="0" xfId="0" applyAlignment="1" applyBorder="1" applyFont="1">
      <alignment shrinkToFit="0" vertical="bottom" wrapText="0"/>
    </xf>
    <xf borderId="0" fillId="6" fontId="2" numFmtId="0" xfId="0" applyAlignment="1" applyFont="1">
      <alignment readingOrder="0" shrinkToFit="0" vertical="bottom" wrapText="0"/>
    </xf>
    <xf borderId="0" fillId="6" fontId="154" numFmtId="0" xfId="0" applyAlignment="1" applyFont="1">
      <alignment readingOrder="0" shrinkToFit="0" vertical="bottom" wrapText="0"/>
    </xf>
    <xf borderId="0" fillId="0" fontId="155" numFmtId="0" xfId="0" applyAlignment="1" applyFont="1">
      <alignment shrinkToFit="0" vertical="bottom" wrapText="0"/>
    </xf>
    <xf borderId="0" fillId="0" fontId="1" numFmtId="0" xfId="0" applyAlignment="1" applyFont="1">
      <alignment shrinkToFit="0" vertical="bottom" wrapText="0"/>
    </xf>
    <xf borderId="0" fillId="3" fontId="156" numFmtId="0" xfId="0" applyAlignment="1" applyFont="1">
      <alignment shrinkToFit="0" vertical="bottom" wrapText="1"/>
    </xf>
    <xf borderId="0" fillId="0" fontId="157" numFmtId="0" xfId="0" applyAlignment="1" applyFont="1">
      <alignment shrinkToFit="0" vertical="bottom" wrapText="1"/>
    </xf>
    <xf borderId="0" fillId="5" fontId="2" numFmtId="0" xfId="0" applyAlignment="1" applyFont="1">
      <alignment shrinkToFit="0" vertical="bottom" wrapText="0"/>
    </xf>
    <xf borderId="0" fillId="5" fontId="158" numFmtId="0" xfId="0" applyAlignment="1" applyFont="1">
      <alignment shrinkToFit="0" vertical="bottom" wrapText="1"/>
    </xf>
    <xf borderId="0" fillId="5" fontId="159" numFmtId="0" xfId="0" applyAlignment="1" applyFont="1">
      <alignment shrinkToFit="0" vertical="bottom" wrapText="0"/>
    </xf>
    <xf borderId="0" fillId="6" fontId="2" numFmtId="0" xfId="0" applyAlignment="1" applyFont="1">
      <alignment shrinkToFit="0" vertical="bottom" wrapText="0"/>
    </xf>
    <xf borderId="0" fillId="6" fontId="160" numFmtId="0" xfId="0" applyAlignment="1" applyFont="1">
      <alignment shrinkToFit="0" vertical="bottom" wrapText="0"/>
    </xf>
    <xf borderId="0" fillId="0" fontId="161" numFmtId="0" xfId="0" applyAlignment="1" applyFont="1">
      <alignment horizontal="left" shrinkToFit="0" wrapText="1"/>
    </xf>
    <xf borderId="0" fillId="0" fontId="162" numFmtId="0" xfId="0" applyAlignment="1" applyFont="1">
      <alignment horizontal="left" readingOrder="0" shrinkToFit="0" vertical="bottom" wrapText="1"/>
    </xf>
    <xf borderId="0" fillId="0" fontId="163" numFmtId="0" xfId="0" applyAlignment="1" applyFont="1">
      <alignment shrinkToFit="0" vertical="bottom" wrapText="1"/>
    </xf>
    <xf borderId="0" fillId="0" fontId="164" numFmtId="0" xfId="0" applyAlignment="1" applyFont="1">
      <alignment shrinkToFit="0" wrapText="1"/>
    </xf>
    <xf borderId="0" fillId="5" fontId="2" numFmtId="0" xfId="0" applyAlignment="1" applyFont="1">
      <alignment shrinkToFit="0" vertical="bottom" wrapText="0"/>
    </xf>
    <xf borderId="0" fillId="5" fontId="165" numFmtId="0" xfId="0" applyAlignment="1" applyFont="1">
      <alignment shrinkToFit="0" vertical="bottom" wrapText="0"/>
    </xf>
    <xf borderId="8" fillId="6" fontId="2" numFmtId="0" xfId="0" applyAlignment="1" applyBorder="1" applyFont="1">
      <alignment shrinkToFit="0" vertical="bottom" wrapText="0"/>
    </xf>
    <xf borderId="8" fillId="6" fontId="166" numFmtId="0" xfId="0" applyAlignment="1" applyBorder="1" applyFont="1">
      <alignment shrinkToFit="0" vertical="bottom" wrapText="0"/>
    </xf>
    <xf borderId="6" fillId="6" fontId="2" numFmtId="0" xfId="0" applyAlignment="1" applyBorder="1" applyFont="1">
      <alignment shrinkToFit="0" vertical="bottom" wrapText="0"/>
    </xf>
    <xf borderId="6" fillId="6" fontId="167" numFmtId="0" xfId="0" applyAlignment="1" applyBorder="1" applyFont="1">
      <alignment shrinkToFit="0" vertical="bottom" wrapText="0"/>
    </xf>
    <xf borderId="6" fillId="0" fontId="10" numFmtId="0" xfId="0" applyAlignment="1" applyBorder="1" applyFont="1">
      <alignment shrinkToFit="0" wrapText="0"/>
    </xf>
    <xf borderId="6" fillId="0" fontId="10" numFmtId="0" xfId="0" applyAlignment="1" applyBorder="1" applyFont="1">
      <alignment shrinkToFit="0" wrapText="1"/>
    </xf>
    <xf borderId="8" fillId="5" fontId="2" numFmtId="0" xfId="0" applyAlignment="1" applyBorder="1" applyFont="1">
      <alignment shrinkToFit="0" vertical="bottom" wrapText="0"/>
    </xf>
    <xf borderId="4" fillId="5" fontId="2" numFmtId="0" xfId="0" applyAlignment="1" applyBorder="1" applyFont="1">
      <alignment shrinkToFit="0" vertical="bottom" wrapText="0"/>
    </xf>
    <xf borderId="0" fillId="5" fontId="2" numFmtId="0" xfId="0" applyAlignment="1" applyFont="1">
      <alignment shrinkToFit="0" vertical="bottom" wrapText="0"/>
    </xf>
    <xf borderId="4" fillId="5" fontId="2" numFmtId="0" xfId="0" applyAlignment="1" applyBorder="1" applyFont="1">
      <alignment shrinkToFit="0" vertical="bottom" wrapText="0"/>
    </xf>
    <xf borderId="0" fillId="0" fontId="168" numFmtId="0" xfId="0" applyAlignment="1" applyFont="1">
      <alignment shrinkToFit="0" vertical="bottom" wrapText="1"/>
    </xf>
    <xf borderId="8" fillId="0" fontId="2" numFmtId="0" xfId="0" applyAlignment="1" applyBorder="1" applyFont="1">
      <alignment shrinkToFit="0" vertical="bottom" wrapText="1"/>
    </xf>
    <xf borderId="6" fillId="5" fontId="2" numFmtId="0" xfId="0" applyAlignment="1" applyBorder="1" applyFont="1">
      <alignment shrinkToFit="0" vertical="bottom" wrapText="0"/>
    </xf>
    <xf borderId="6" fillId="5" fontId="169" numFmtId="0" xfId="0" applyAlignment="1" applyBorder="1" applyFont="1">
      <alignment shrinkToFit="0" vertical="bottom" wrapText="0"/>
    </xf>
    <xf borderId="0" fillId="3" fontId="2" numFmtId="0" xfId="0" applyAlignment="1" applyFont="1">
      <alignment shrinkToFit="0" vertical="bottom" wrapText="1"/>
    </xf>
    <xf borderId="0" fillId="3" fontId="2" numFmtId="0" xfId="0" applyAlignment="1" applyFont="1">
      <alignment shrinkToFit="0" vertical="bottom" wrapText="0"/>
    </xf>
    <xf borderId="0" fillId="5" fontId="10" numFmtId="0" xfId="0" applyAlignment="1" applyFont="1">
      <alignment readingOrder="0" shrinkToFit="0" wrapText="0"/>
    </xf>
    <xf borderId="0" fillId="5" fontId="170" numFmtId="0" xfId="0" applyAlignment="1" applyFont="1">
      <alignment horizontal="left" shrinkToFit="0" vertical="bottom" wrapText="0"/>
    </xf>
    <xf borderId="6" fillId="5" fontId="2" numFmtId="0" xfId="0" applyAlignment="1" applyBorder="1" applyFont="1">
      <alignment shrinkToFit="0" vertical="bottom" wrapText="0"/>
    </xf>
    <xf borderId="0" fillId="6" fontId="10" numFmtId="0" xfId="0" applyAlignment="1" applyFont="1">
      <alignment readingOrder="0" shrinkToFit="0" wrapText="0"/>
    </xf>
    <xf borderId="0" fillId="6" fontId="171" numFmtId="0" xfId="0" applyAlignment="1" applyFont="1">
      <alignment readingOrder="0" shrinkToFit="0" wrapText="0"/>
    </xf>
    <xf borderId="0" fillId="5" fontId="2" numFmtId="0" xfId="0" applyAlignment="1" applyFont="1">
      <alignment shrinkToFit="0" vertical="bottom" wrapText="0"/>
    </xf>
    <xf borderId="4" fillId="5" fontId="172" numFmtId="0" xfId="0" applyAlignment="1" applyBorder="1" applyFont="1">
      <alignment horizontal="left" shrinkToFit="0" vertical="bottom" wrapText="1"/>
    </xf>
    <xf borderId="0" fillId="5" fontId="2" numFmtId="0" xfId="0" applyAlignment="1" applyFont="1">
      <alignment horizontal="left" shrinkToFit="0" vertical="bottom" wrapText="1"/>
    </xf>
    <xf borderId="6" fillId="5" fontId="173" numFmtId="0" xfId="0" applyAlignment="1" applyBorder="1" applyFont="1">
      <alignment horizontal="left" shrinkToFit="0" vertical="bottom" wrapText="1"/>
    </xf>
    <xf borderId="7" fillId="5" fontId="2" numFmtId="0" xfId="0" applyAlignment="1" applyBorder="1" applyFont="1">
      <alignment horizontal="left" shrinkToFit="0" vertical="bottom" wrapText="1"/>
    </xf>
    <xf borderId="6" fillId="5" fontId="2" numFmtId="0" xfId="0" applyAlignment="1" applyBorder="1" applyFont="1">
      <alignment shrinkToFit="0" vertical="bottom" wrapText="0"/>
    </xf>
    <xf borderId="7" fillId="5" fontId="174" numFmtId="0" xfId="0" applyAlignment="1" applyBorder="1" applyFont="1">
      <alignment shrinkToFit="0" vertical="bottom" wrapText="1"/>
    </xf>
    <xf borderId="0" fillId="6" fontId="175" numFmtId="0" xfId="0" applyAlignment="1" applyFont="1">
      <alignment shrinkToFit="0" vertical="bottom" wrapText="0"/>
    </xf>
    <xf borderId="4" fillId="6" fontId="2" numFmtId="0" xfId="0" applyAlignment="1" applyBorder="1" applyFont="1">
      <alignment readingOrder="0" shrinkToFit="0" vertical="bottom" wrapText="0"/>
    </xf>
    <xf borderId="5" fillId="6" fontId="176" numFmtId="0" xfId="0" applyAlignment="1" applyBorder="1" applyFont="1">
      <alignment shrinkToFit="0" vertical="bottom" wrapText="0"/>
    </xf>
    <xf borderId="0" fillId="0" fontId="177" numFmtId="0" xfId="0" applyAlignment="1" applyFont="1">
      <alignment readingOrder="0" shrinkToFit="0" vertical="bottom" wrapText="0"/>
    </xf>
    <xf borderId="0" fillId="0" fontId="178" numFmtId="0" xfId="0" applyAlignment="1" applyFont="1">
      <alignment shrinkToFit="0" vertical="bottom" wrapText="1"/>
    </xf>
    <xf borderId="5" fillId="6" fontId="2" numFmtId="0" xfId="0" applyAlignment="1" applyBorder="1" applyFont="1">
      <alignment readingOrder="0" shrinkToFit="0" vertical="bottom" wrapText="0"/>
    </xf>
    <xf borderId="0" fillId="0" fontId="179" numFmtId="0" xfId="0" applyAlignment="1" applyFont="1">
      <alignment horizontal="left" shrinkToFit="0" vertical="bottom" wrapText="1"/>
    </xf>
    <xf borderId="0" fillId="0" fontId="180" numFmtId="0" xfId="0" applyAlignment="1" applyFont="1">
      <alignment horizontal="left" shrinkToFit="0" wrapText="1"/>
    </xf>
    <xf borderId="0" fillId="0" fontId="181" numFmtId="0" xfId="0" applyAlignment="1" applyFont="1">
      <alignment horizontal="left" shrinkToFit="0" wrapText="1"/>
    </xf>
    <xf borderId="0" fillId="5" fontId="182" numFmtId="0" xfId="0" applyAlignment="1" applyFont="1">
      <alignment horizontal="left" shrinkToFit="0" vertical="bottom" wrapText="1"/>
    </xf>
    <xf borderId="0" fillId="5" fontId="2" numFmtId="0" xfId="0" applyAlignment="1" applyFont="1">
      <alignment horizontal="left" readingOrder="0" shrinkToFit="0" vertical="bottom" wrapText="0"/>
    </xf>
    <xf borderId="5" fillId="6" fontId="2" numFmtId="0" xfId="0" applyAlignment="1" applyBorder="1" applyFont="1">
      <alignment shrinkToFit="0" vertical="bottom" wrapText="0"/>
    </xf>
    <xf borderId="0" fillId="0" fontId="183" numFmtId="0" xfId="0" applyAlignment="1" applyFont="1">
      <alignment horizontal="left" shrinkToFit="0" vertical="center" wrapText="1"/>
    </xf>
    <xf borderId="8" fillId="0" fontId="2" numFmtId="0" xfId="0" applyAlignment="1" applyBorder="1" applyFont="1">
      <alignment shrinkToFit="0" vertical="bottom" wrapText="1"/>
    </xf>
    <xf borderId="9" fillId="5" fontId="184" numFmtId="0" xfId="0" applyAlignment="1" applyBorder="1" applyFont="1">
      <alignment shrinkToFit="0" vertical="bottom" wrapText="0"/>
    </xf>
    <xf borderId="0" fillId="5" fontId="185" numFmtId="0" xfId="0" applyAlignment="1" applyFont="1">
      <alignment shrinkToFit="0" vertical="bottom" wrapText="0"/>
    </xf>
    <xf borderId="7" fillId="5" fontId="2" numFmtId="0" xfId="0" applyAlignment="1" applyBorder="1" applyFont="1">
      <alignment shrinkToFit="0" vertical="bottom" wrapText="0"/>
    </xf>
    <xf borderId="7" fillId="5" fontId="186" numFmtId="0" xfId="0" applyAlignment="1" applyBorder="1" applyFont="1">
      <alignment shrinkToFit="0" vertical="bottom" wrapText="0"/>
    </xf>
    <xf borderId="7" fillId="5" fontId="187" numFmtId="0" xfId="0" applyAlignment="1" applyBorder="1" applyFont="1">
      <alignment shrinkToFit="0" vertical="bottom" wrapText="0"/>
    </xf>
    <xf borderId="7" fillId="6" fontId="188" numFmtId="0" xfId="0" applyAlignment="1" applyBorder="1" applyFont="1">
      <alignment shrinkToFit="0" vertical="bottom" wrapText="0"/>
    </xf>
    <xf borderId="6" fillId="5" fontId="189" numFmtId="0" xfId="0" applyAlignment="1" applyBorder="1" applyFont="1">
      <alignment shrinkToFit="0" vertical="bottom" wrapText="0"/>
    </xf>
    <xf borderId="6" fillId="5" fontId="190" numFmtId="0" xfId="0" applyAlignment="1" applyBorder="1" applyFont="1">
      <alignment shrinkToFit="0" vertical="bottom" wrapText="1"/>
    </xf>
    <xf borderId="6" fillId="6" fontId="191" numFmtId="0" xfId="0" applyAlignment="1" applyBorder="1" applyFont="1">
      <alignment shrinkToFit="0" vertical="bottom" wrapText="0"/>
    </xf>
    <xf borderId="7" fillId="6" fontId="192" numFmtId="0" xfId="0" applyAlignment="1" applyBorder="1" applyFont="1">
      <alignment horizontal="left" shrinkToFit="0" vertical="bottom" wrapText="0"/>
    </xf>
    <xf borderId="0" fillId="6" fontId="2" numFmtId="0" xfId="0" applyAlignment="1" applyFont="1">
      <alignment shrinkToFit="0" vertical="bottom" wrapText="0"/>
    </xf>
    <xf borderId="0" fillId="6" fontId="193" numFmtId="0" xfId="0" applyAlignment="1" applyFont="1">
      <alignment shrinkToFit="0" vertical="bottom" wrapText="0"/>
    </xf>
    <xf borderId="0" fillId="6" fontId="194" numFmtId="0" xfId="0" applyAlignment="1" applyFont="1">
      <alignment shrinkToFit="0" vertical="bottom" wrapText="0"/>
    </xf>
    <xf borderId="0" fillId="0" fontId="195" numFmtId="0" xfId="0" applyAlignment="1" applyFont="1">
      <alignment horizontal="left" shrinkToFit="0" vertical="bottom" wrapText="1"/>
    </xf>
    <xf borderId="0" fillId="6" fontId="196" numFmtId="0" xfId="0" applyAlignment="1" applyFont="1">
      <alignment horizontal="left" readingOrder="0" shrinkToFit="0" vertical="bottom" wrapText="0"/>
    </xf>
    <xf borderId="0" fillId="6" fontId="197" numFmtId="0" xfId="0" applyAlignment="1" applyFont="1">
      <alignment horizontal="left" shrinkToFit="0" vertical="bottom" wrapText="0"/>
    </xf>
    <xf borderId="7" fillId="6" fontId="198" numFmtId="0" xfId="0" applyAlignment="1" applyBorder="1" applyFont="1">
      <alignment readingOrder="0" shrinkToFit="0" wrapText="0"/>
    </xf>
    <xf borderId="4" fillId="6" fontId="199" numFmtId="0" xfId="0" applyAlignment="1" applyBorder="1" applyFont="1">
      <alignment horizontal="left" shrinkToFit="0" vertical="bottom" wrapText="0"/>
    </xf>
    <xf borderId="7" fillId="6" fontId="2" numFmtId="0" xfId="0" applyAlignment="1" applyBorder="1" applyFont="1">
      <alignment shrinkToFit="0" vertical="bottom" wrapText="0"/>
    </xf>
    <xf borderId="6" fillId="6" fontId="2" numFmtId="0" xfId="0" applyAlignment="1" applyBorder="1" applyFont="1">
      <alignment readingOrder="0" shrinkToFit="0" vertical="bottom" wrapText="0"/>
    </xf>
    <xf borderId="7" fillId="6" fontId="200" numFmtId="0" xfId="0" applyAlignment="1" applyBorder="1" applyFont="1">
      <alignment shrinkToFit="0" vertical="bottom" wrapText="0"/>
    </xf>
    <xf borderId="6" fillId="6" fontId="201" numFmtId="0" xfId="0" applyAlignment="1" applyBorder="1" applyFont="1">
      <alignment readingOrder="0" shrinkToFit="0" vertical="bottom" wrapText="0"/>
    </xf>
    <xf borderId="6" fillId="6" fontId="202" numFmtId="0" xfId="0" applyAlignment="1" applyBorder="1" applyFont="1">
      <alignment horizontal="left" shrinkToFit="0" vertical="bottom" wrapText="0"/>
    </xf>
    <xf borderId="0" fillId="6" fontId="203" numFmtId="0" xfId="0" applyAlignment="1" applyFont="1">
      <alignment shrinkToFit="0" vertical="bottom" wrapText="0"/>
    </xf>
    <xf borderId="9" fillId="6" fontId="2" numFmtId="0" xfId="0" applyAlignment="1" applyBorder="1" applyFont="1">
      <alignment shrinkToFit="0" vertical="bottom" wrapText="0"/>
    </xf>
    <xf borderId="0" fillId="6" fontId="2" numFmtId="0" xfId="0" applyAlignment="1" applyFont="1">
      <alignment horizontal="left" shrinkToFit="0" vertical="bottom" wrapText="0"/>
    </xf>
    <xf borderId="4" fillId="6" fontId="2" numFmtId="0" xfId="0" applyAlignment="1" applyBorder="1" applyFont="1">
      <alignment horizontal="left" shrinkToFit="0" vertical="bottom" wrapText="0"/>
    </xf>
    <xf borderId="6" fillId="6" fontId="2" numFmtId="0" xfId="0" applyAlignment="1" applyBorder="1" applyFont="1">
      <alignment horizontal="left" shrinkToFit="0" vertical="bottom" wrapText="0"/>
    </xf>
    <xf borderId="7" fillId="6" fontId="2" numFmtId="0" xfId="0" applyAlignment="1" applyBorder="1" applyFont="1">
      <alignment horizontal="left" shrinkToFit="0" vertical="bottom" wrapText="0"/>
    </xf>
    <xf borderId="6" fillId="6" fontId="204" numFmtId="0" xfId="0" applyAlignment="1" applyBorder="1" applyFont="1">
      <alignment horizontal="left" shrinkToFit="0" vertical="bottom" wrapText="0"/>
    </xf>
    <xf borderId="6" fillId="6" fontId="205" numFmtId="0" xfId="0" applyAlignment="1" applyBorder="1" applyFont="1">
      <alignment readingOrder="0" shrinkToFit="0" vertical="bottom" wrapText="0"/>
    </xf>
    <xf borderId="6" fillId="6" fontId="2" numFmtId="0" xfId="0" applyAlignment="1" applyBorder="1" applyFont="1">
      <alignment shrinkToFit="0" vertical="bottom" wrapText="0"/>
    </xf>
    <xf borderId="7" fillId="6" fontId="206" numFmtId="0" xfId="0" applyAlignment="1" applyBorder="1" applyFont="1">
      <alignment shrinkToFit="0" vertical="bottom" wrapText="0"/>
    </xf>
    <xf borderId="0" fillId="0" fontId="207" numFmtId="0" xfId="0" applyAlignment="1" applyFont="1">
      <alignment horizontal="left" readingOrder="0" shrinkToFit="0" vertical="bottom" wrapText="1"/>
    </xf>
    <xf borderId="0" fillId="7" fontId="1" numFmtId="164" xfId="0" applyAlignment="1" applyFont="1" applyNumberFormat="1">
      <alignment horizontal="center" readingOrder="0" shrinkToFit="0" vertical="center" wrapText="0"/>
    </xf>
    <xf borderId="0" fillId="7" fontId="1" numFmtId="164" xfId="0" applyAlignment="1" applyFont="1" applyNumberFormat="1">
      <alignment horizontal="center" readingOrder="0" shrinkToFit="0" vertical="center" wrapText="1"/>
    </xf>
    <xf borderId="0" fillId="7" fontId="1" numFmtId="0" xfId="0" applyAlignment="1" applyFont="1">
      <alignment horizontal="center" shrinkToFit="0" vertical="center" wrapText="1"/>
    </xf>
    <xf borderId="0" fillId="7" fontId="1" numFmtId="0" xfId="0" applyAlignment="1" applyFont="1">
      <alignment horizontal="center" shrinkToFit="0" vertical="center" wrapText="1"/>
    </xf>
    <xf borderId="0" fillId="7" fontId="1" numFmtId="0" xfId="0" applyAlignment="1" applyFont="1">
      <alignment horizontal="left" readingOrder="0" shrinkToFit="0" vertical="center" wrapText="0"/>
    </xf>
    <xf borderId="0" fillId="7" fontId="1" numFmtId="0" xfId="0" applyAlignment="1" applyFont="1">
      <alignment horizontal="center" readingOrder="0" shrinkToFit="0" vertical="center" wrapText="0"/>
    </xf>
    <xf borderId="0" fillId="0" fontId="26"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3" fontId="1" numFmtId="0" xfId="0" applyAlignment="1" applyFont="1">
      <alignment horizontal="left" readingOrder="0" shrinkToFit="0" vertical="bottom" wrapText="1"/>
    </xf>
    <xf borderId="0" fillId="0" fontId="10" numFmtId="0" xfId="0" applyAlignment="1" applyFont="1">
      <alignment horizontal="left" readingOrder="0" shrinkToFit="0" wrapText="0"/>
    </xf>
    <xf borderId="0" fillId="2"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0" fillId="0" fontId="208" numFmtId="0" xfId="0" applyAlignment="1" applyFont="1">
      <alignment horizontal="left" shrinkToFit="0" vertical="bottom" wrapText="0"/>
    </xf>
    <xf borderId="0" fillId="0" fontId="209" numFmtId="0" xfId="0" applyAlignment="1" applyFont="1">
      <alignment horizontal="left" readingOrder="0" shrinkToFit="0" vertical="center" wrapText="0"/>
    </xf>
    <xf borderId="0" fillId="0" fontId="210" numFmtId="0" xfId="0" applyAlignment="1" applyFont="1">
      <alignment horizontal="left" readingOrder="0" shrinkToFit="0" wrapText="0"/>
    </xf>
    <xf borderId="0" fillId="0" fontId="211" numFmtId="0" xfId="0" applyAlignment="1" applyFont="1">
      <alignment horizontal="left" readingOrder="0" shrinkToFit="0" vertical="bottom" wrapText="0"/>
    </xf>
    <xf borderId="0" fillId="0" fontId="212" numFmtId="0" xfId="0" applyAlignment="1" applyFont="1">
      <alignment horizontal="left" shrinkToFit="0" vertical="bottom" wrapText="0"/>
    </xf>
    <xf borderId="0" fillId="0" fontId="213" numFmtId="0" xfId="0" applyAlignment="1" applyFont="1">
      <alignment horizontal="left" shrinkToFit="0" wrapText="0"/>
    </xf>
    <xf borderId="0" fillId="0" fontId="214" numFmtId="0" xfId="0" applyAlignment="1" applyFont="1">
      <alignment horizontal="left" readingOrder="0" shrinkToFit="0" vertical="center" wrapText="0"/>
    </xf>
    <xf borderId="0" fillId="0" fontId="215" numFmtId="0" xfId="0" applyAlignment="1" applyFont="1">
      <alignment horizontal="left" shrinkToFit="0" wrapText="0"/>
    </xf>
    <xf borderId="0" fillId="0" fontId="216" numFmtId="0" xfId="0" applyAlignment="1" applyFont="1">
      <alignment horizontal="left" shrinkToFit="0" wrapText="0"/>
    </xf>
    <xf borderId="0" fillId="0" fontId="217" numFmtId="0" xfId="0" applyAlignment="1" applyFont="1">
      <alignment horizontal="left" shrinkToFit="0" vertical="bottom" wrapText="0"/>
    </xf>
    <xf borderId="0" fillId="0" fontId="218" numFmtId="0" xfId="0" applyAlignment="1" applyFont="1">
      <alignment horizontal="left" shrinkToFit="0" wrapText="0"/>
    </xf>
    <xf borderId="0" fillId="0" fontId="219" numFmtId="0" xfId="0" applyAlignment="1" applyFont="1">
      <alignment horizontal="left" readingOrder="0" shrinkToFit="0" wrapText="0"/>
    </xf>
    <xf borderId="0" fillId="0" fontId="220" numFmtId="0" xfId="0" applyAlignment="1" applyFont="1">
      <alignment horizontal="left" shrinkToFit="0" wrapText="0"/>
    </xf>
    <xf borderId="0" fillId="0" fontId="10" numFmtId="0" xfId="0" applyAlignment="1" applyFont="1">
      <alignment horizontal="left" shrinkToFit="0" wrapText="0"/>
    </xf>
    <xf borderId="0" fillId="0" fontId="221" numFmtId="0" xfId="0" applyAlignment="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22" numFmtId="0" xfId="0" applyAlignment="1" applyFont="1">
      <alignment horizontal="left" shrinkToFit="0" wrapText="0"/>
    </xf>
    <xf borderId="0" fillId="0" fontId="2" numFmtId="0" xfId="0" applyAlignment="1" applyFont="1">
      <alignment horizontal="left" readingOrder="0" shrinkToFit="0" vertical="bottom" wrapText="0"/>
    </xf>
    <xf borderId="0" fillId="0" fontId="10" numFmtId="0" xfId="0" applyAlignment="1" applyFont="1">
      <alignment horizontal="center" shrinkToFit="0" wrapText="1"/>
    </xf>
    <xf borderId="0" fillId="0" fontId="10" numFmtId="0" xfId="0" applyAlignment="1" applyFont="1">
      <alignment horizontal="left" shrinkToFit="0" wrapText="1"/>
    </xf>
    <xf borderId="0" fillId="0" fontId="2" numFmtId="0" xfId="0" applyAlignment="1" applyFont="1">
      <alignment horizontal="left" readingOrder="0" shrinkToFit="0" vertical="bottom" wrapText="1"/>
    </xf>
    <xf borderId="0" fillId="0" fontId="223" numFmtId="0" xfId="0" applyAlignment="1" applyFont="1">
      <alignment horizontal="left" shrinkToFit="0" vertical="bottom" wrapText="0"/>
    </xf>
    <xf borderId="0" fillId="0" fontId="27" numFmtId="0" xfId="0" applyAlignment="1" applyFont="1">
      <alignment horizontal="left" readingOrder="0" shrinkToFit="0" wrapText="1"/>
    </xf>
    <xf borderId="0" fillId="11" fontId="224" numFmtId="0" xfId="0" applyAlignment="1" applyFont="1">
      <alignment horizontal="left" readingOrder="0" shrinkToFit="0" vertical="bottom" wrapText="0"/>
    </xf>
    <xf borderId="0" fillId="0" fontId="225" numFmtId="0" xfId="0" applyAlignment="1" applyFont="1">
      <alignment horizontal="left" shrinkToFit="0" vertical="bottom" wrapText="1"/>
    </xf>
    <xf borderId="0" fillId="0" fontId="226" numFmtId="0" xfId="0" applyAlignment="1" applyFont="1">
      <alignment horizontal="left" readingOrder="0" shrinkToFit="0" wrapText="0"/>
    </xf>
    <xf borderId="0" fillId="0" fontId="227" numFmtId="0" xfId="0" applyAlignment="1" applyFont="1">
      <alignment horizontal="left" shrinkToFit="0" vertical="bottom" wrapText="0"/>
    </xf>
    <xf borderId="0" fillId="0" fontId="10" numFmtId="0" xfId="0" applyAlignment="1" applyFont="1">
      <alignment horizontal="left" shrinkToFit="0" vertical="center" wrapText="0"/>
    </xf>
    <xf borderId="0" fillId="0" fontId="228" numFmtId="0" xfId="0" applyAlignment="1" applyFont="1">
      <alignment horizontal="left" readingOrder="0" shrinkToFit="0" vertical="bottom" wrapText="0"/>
    </xf>
    <xf borderId="0" fillId="0" fontId="229" numFmtId="0" xfId="0" applyAlignment="1" applyFont="1">
      <alignment horizontal="center" shrinkToFit="0" vertical="bottom" wrapText="1"/>
    </xf>
    <xf borderId="0" fillId="0" fontId="230" numFmtId="0" xfId="0" applyAlignment="1" applyFont="1">
      <alignment horizontal="left" shrinkToFit="0" wrapText="0"/>
    </xf>
    <xf borderId="0" fillId="2" fontId="24"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31" numFmtId="0" xfId="0" applyAlignment="1" applyFont="1">
      <alignment horizontal="left" shrinkToFit="0" vertical="bottom" wrapText="1"/>
    </xf>
    <xf borderId="0" fillId="0" fontId="1" numFmtId="0" xfId="0" applyAlignment="1" applyFont="1">
      <alignment horizontal="left" shrinkToFit="0" vertical="bottom" wrapText="0"/>
    </xf>
    <xf borderId="0" fillId="11" fontId="2" numFmtId="0" xfId="0" applyAlignment="1" applyFont="1">
      <alignment horizontal="left" shrinkToFit="0" vertical="bottom" wrapText="0"/>
    </xf>
    <xf borderId="0" fillId="11" fontId="2" numFmtId="0" xfId="0" applyAlignment="1" applyFont="1">
      <alignment horizontal="center" shrinkToFit="0" vertical="bottom" wrapText="1"/>
    </xf>
    <xf borderId="0" fillId="11" fontId="2" numFmtId="0" xfId="0" applyAlignment="1" applyFont="1">
      <alignment horizontal="center" shrinkToFit="0" vertical="bottom" wrapText="1"/>
    </xf>
    <xf borderId="0" fillId="11" fontId="2" numFmtId="0" xfId="0" applyAlignment="1" applyFont="1">
      <alignment horizontal="center" shrinkToFit="0" vertical="center" wrapText="1"/>
    </xf>
    <xf borderId="0" fillId="11" fontId="10" numFmtId="0" xfId="0" applyAlignment="1" applyFont="1">
      <alignment horizontal="center" shrinkToFit="0" vertical="center" wrapText="1"/>
    </xf>
    <xf borderId="0" fillId="11" fontId="2" numFmtId="0" xfId="0" applyAlignment="1" applyFont="1">
      <alignment horizontal="center" readingOrder="0" shrinkToFit="0" vertical="center" wrapText="1"/>
    </xf>
    <xf borderId="0" fillId="11" fontId="10" numFmtId="0" xfId="0" applyAlignment="1" applyFont="1">
      <alignment horizontal="left" readingOrder="0" shrinkToFit="0" vertical="center" wrapText="0"/>
    </xf>
    <xf borderId="0" fillId="11" fontId="232" numFmtId="0" xfId="0" applyAlignment="1" applyFont="1">
      <alignment horizontal="left" shrinkToFit="0" wrapText="1"/>
    </xf>
    <xf borderId="0" fillId="11" fontId="10" numFmtId="0" xfId="0" applyAlignment="1" applyFont="1">
      <alignment horizontal="left" readingOrder="0" shrinkToFit="0" wrapText="0"/>
    </xf>
    <xf borderId="0" fillId="11" fontId="10" numFmtId="0" xfId="0" applyAlignment="1" applyFont="1">
      <alignment horizontal="left" readingOrder="0" shrinkToFit="0" wrapText="1"/>
    </xf>
    <xf borderId="0" fillId="11" fontId="10" numFmtId="0" xfId="0" applyAlignment="1" applyFont="1">
      <alignment shrinkToFit="0" wrapText="1"/>
    </xf>
    <xf borderId="0" fillId="13" fontId="1"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3" fontId="2" numFmtId="0" xfId="0" applyAlignment="1" applyFont="1">
      <alignment horizontal="left" shrinkToFit="0" wrapText="1"/>
    </xf>
    <xf borderId="0" fillId="0" fontId="2" numFmtId="0" xfId="0" applyAlignment="1" applyFont="1">
      <alignment horizontal="left" shrinkToFit="0" wrapText="1"/>
    </xf>
    <xf borderId="0" fillId="0" fontId="1" numFmtId="0" xfId="0" applyAlignment="1" applyFont="1">
      <alignment readingOrder="0" shrinkToFit="0" vertical="top" wrapText="1"/>
    </xf>
    <xf borderId="0" fillId="13" fontId="2" numFmtId="0" xfId="0" applyAlignment="1" applyFont="1">
      <alignment horizontal="left" shrinkToFit="0" vertical="center" wrapText="1"/>
    </xf>
    <xf borderId="0" fillId="0" fontId="233" numFmtId="0" xfId="0" applyAlignment="1" applyFont="1">
      <alignment horizontal="left" shrinkToFit="0" wrapText="1"/>
    </xf>
    <xf borderId="0" fillId="13" fontId="2" numFmtId="0" xfId="0" applyAlignment="1" applyFont="1">
      <alignment horizontal="left" readingOrder="0" shrinkToFit="0" wrapText="1"/>
    </xf>
    <xf borderId="0" fillId="0" fontId="234" numFmtId="0" xfId="0" applyAlignment="1" applyFont="1">
      <alignment horizontal="left" shrinkToFit="0" wrapText="0"/>
    </xf>
    <xf borderId="0" fillId="0" fontId="1" numFmtId="0" xfId="0" applyAlignment="1" applyFont="1">
      <alignment horizontal="left" readingOrder="0" shrinkToFit="0" vertical="bottom" wrapText="0"/>
    </xf>
    <xf borderId="0" fillId="0" fontId="235" numFmtId="0" xfId="0" applyAlignment="1" applyFont="1">
      <alignment horizontal="left" shrinkToFit="0" vertical="bottom" wrapText="0"/>
    </xf>
    <xf borderId="0" fillId="0" fontId="236" numFmtId="0" xfId="0" applyAlignment="1" applyFont="1">
      <alignment horizontal="left" shrinkToFit="0" wrapText="1"/>
    </xf>
    <xf borderId="0" fillId="13" fontId="2" numFmtId="0" xfId="0" applyAlignment="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shrinkToFit="0" wrapText="1"/>
    </xf>
    <xf borderId="0" fillId="0" fontId="237" numFmtId="0" xfId="0" applyAlignment="1" applyFont="1">
      <alignment horizontal="left" shrinkToFit="0" vertical="top" wrapText="0"/>
    </xf>
    <xf borderId="0" fillId="2" fontId="238" numFmtId="0" xfId="0" applyAlignment="1" applyFont="1">
      <alignment horizontal="left" readingOrder="0" shrinkToFit="0" wrapText="1"/>
    </xf>
    <xf borderId="0" fillId="0" fontId="239" numFmtId="0" xfId="0" applyAlignment="1" applyFont="1">
      <alignment horizontal="left" readingOrder="0" shrinkToFit="0" vertical="bottom" wrapText="0"/>
    </xf>
    <xf borderId="0" fillId="0" fontId="240" numFmtId="0" xfId="0" applyAlignment="1" applyFont="1">
      <alignment shrinkToFit="0" vertical="top" wrapText="0"/>
    </xf>
    <xf borderId="0" fillId="0" fontId="241" numFmtId="0" xfId="0" applyAlignment="1" applyFont="1">
      <alignment shrinkToFit="0" vertical="top" wrapText="0"/>
    </xf>
    <xf borderId="0" fillId="13" fontId="2" numFmtId="0" xfId="0" applyAlignment="1" applyFont="1">
      <alignment horizontal="left" shrinkToFit="0" vertical="bottom" wrapText="1"/>
    </xf>
    <xf borderId="0" fillId="13" fontId="2" numFmtId="0" xfId="0" applyAlignment="1" applyFont="1">
      <alignment horizontal="left" readingOrder="0" shrinkToFit="0" vertical="bottom" wrapText="1"/>
    </xf>
    <xf borderId="0" fillId="0" fontId="242" numFmtId="0" xfId="0" applyAlignment="1" applyFont="1">
      <alignment horizontal="left" readingOrder="0" shrinkToFit="0" wrapText="0"/>
    </xf>
    <xf borderId="0" fillId="0" fontId="243" numFmtId="0" xfId="0" applyAlignment="1" applyFont="1">
      <alignment horizontal="left" readingOrder="0" shrinkToFit="0" wrapText="0"/>
    </xf>
    <xf borderId="0" fillId="13" fontId="10" numFmtId="0" xfId="0" applyAlignment="1" applyFont="1">
      <alignment horizontal="left" readingOrder="0" shrinkToFit="0" vertical="center" wrapText="1"/>
    </xf>
    <xf borderId="0" fillId="0" fontId="244" numFmtId="0" xfId="0" applyAlignment="1" applyFont="1">
      <alignment horizontal="left" shrinkToFit="0" vertical="bottom" wrapText="1"/>
    </xf>
    <xf borderId="0" fillId="0" fontId="245" numFmtId="0" xfId="0" applyAlignment="1" applyFont="1">
      <alignment shrinkToFit="0" vertical="bottom" wrapText="1"/>
    </xf>
    <xf borderId="0" fillId="0" fontId="246" numFmtId="0" xfId="0" applyAlignment="1" applyFont="1">
      <alignment shrinkToFit="0" vertical="bottom" wrapText="1"/>
    </xf>
    <xf borderId="0" fillId="0" fontId="247" numFmtId="0" xfId="0" applyAlignment="1" applyFont="1">
      <alignment shrinkToFit="0" wrapText="1"/>
    </xf>
    <xf borderId="0" fillId="0" fontId="248" numFmtId="0" xfId="0" applyAlignment="1" applyFont="1">
      <alignment horizontal="center" readingOrder="0" shrinkToFit="0" wrapText="1"/>
    </xf>
    <xf borderId="0" fillId="0" fontId="249" numFmtId="0" xfId="0" applyAlignment="1" applyFont="1">
      <alignment readingOrder="0" shrinkToFit="0" wrapText="1"/>
    </xf>
    <xf borderId="0" fillId="0" fontId="250" numFmtId="0" xfId="0" applyAlignment="1" applyFont="1">
      <alignment readingOrder="0" shrinkToFit="0" wrapText="1"/>
    </xf>
    <xf borderId="0" fillId="3" fontId="10" numFmtId="0" xfId="0" applyAlignment="1" applyFont="1">
      <alignment readingOrder="0" shrinkToFit="0" wrapText="1"/>
    </xf>
  </cellXfs>
  <cellStyles count="1">
    <cellStyle xfId="0" name="Normal" builtinId="0"/>
  </cellStyles>
  <dxfs count="6">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sites.google.com/site/mostafasibrahim/" TargetMode="External"/><Relationship Id="rId2" Type="http://schemas.openxmlformats.org/officeDocument/2006/relationships/hyperlink" Target="https://www.youtube.com/watch?v=c3lmvYBxgwE" TargetMode="External"/><Relationship Id="rId3" Type="http://schemas.openxmlformats.org/officeDocument/2006/relationships/hyperlink" Target="https://www.youtube.com/playlist?list=PLPt2dINI2MIaNcU070HIAO8JWYBcafuyG" TargetMode="External"/><Relationship Id="rId4" Type="http://schemas.openxmlformats.org/officeDocument/2006/relationships/hyperlink" Target="https://bit.ly/37MSCjV" TargetMode="External"/><Relationship Id="rId11" Type="http://schemas.openxmlformats.org/officeDocument/2006/relationships/hyperlink" Target="https://www.youtube.com/watch?v=Fr6wJ5_Hok0&amp;list=PL1DUmTEdeA6IUD9Gt5rZlQfbZyAWXd-oD" TargetMode="External"/><Relationship Id="rId10" Type="http://schemas.openxmlformats.org/officeDocument/2006/relationships/hyperlink" Target="https://discord.gg/BPXwwcBVZJ" TargetMode="External"/><Relationship Id="rId12" Type="http://schemas.openxmlformats.org/officeDocument/2006/relationships/drawing" Target="../drawings/drawing1.xml"/><Relationship Id="rId9" Type="http://schemas.openxmlformats.org/officeDocument/2006/relationships/hyperlink" Target="http://bit.ly/3o9vkw9" TargetMode="External"/><Relationship Id="rId5" Type="http://schemas.openxmlformats.org/officeDocument/2006/relationships/hyperlink" Target="https://goo.gl/CEwCjS" TargetMode="External"/><Relationship Id="rId6" Type="http://schemas.openxmlformats.org/officeDocument/2006/relationships/hyperlink" Target="https://bit.ly/3lJ2SiL" TargetMode="External"/><Relationship Id="rId7" Type="http://schemas.openxmlformats.org/officeDocument/2006/relationships/hyperlink" Target="https://bit.ly/36XvLlN" TargetMode="External"/><Relationship Id="rId8" Type="http://schemas.openxmlformats.org/officeDocument/2006/relationships/hyperlink" Target="https://bit.ly/3lJ2Si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11" Type="http://schemas.openxmlformats.org/officeDocument/2006/relationships/drawing" Target="../drawings/drawing4.xml"/><Relationship Id="rId10" Type="http://schemas.openxmlformats.org/officeDocument/2006/relationships/hyperlink" Target="https://onlinejudge.org/index.php?option=com_onlinejudge&amp;Itemid=8&amp;page=show_problem&amp;problem=3615" TargetMode="External"/><Relationship Id="rId9" Type="http://schemas.openxmlformats.org/officeDocument/2006/relationships/hyperlink" Target="https://www.youtube.com/watch?v=PId-mUSek5s&amp;feature=youtu.be" TargetMode="Externa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11" Type="http://schemas.openxmlformats.org/officeDocument/2006/relationships/drawing" Target="../drawings/drawing5.xml"/><Relationship Id="rId10" Type="http://schemas.openxmlformats.org/officeDocument/2006/relationships/hyperlink" Target="https://onlinejudge.org/index.php?option=onlinejudge&amp;page=show_problem&amp;problem=2620" TargetMode="External"/><Relationship Id="rId12" Type="http://schemas.openxmlformats.org/officeDocument/2006/relationships/vmlDrawing" Target="../drawings/vmlDrawing1.vml"/><Relationship Id="rId9" Type="http://schemas.openxmlformats.org/officeDocument/2006/relationships/hyperlink" Target="https://github.com/MohamedNabil97/CompetitiveProgramming/blob/master/UVA/10139.cpp"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26.0"/>
    <col customWidth="1" min="7" max="7" width="18.57"/>
    <col customWidth="1" min="8" max="8" width="24.71"/>
  </cols>
  <sheetData>
    <row r="1">
      <c r="A1" s="1" t="s">
        <v>0</v>
      </c>
      <c r="B1" s="2" t="s">
        <v>1</v>
      </c>
    </row>
    <row r="2">
      <c r="B2" s="3" t="s">
        <v>2</v>
      </c>
    </row>
    <row r="3">
      <c r="B3" s="4" t="s">
        <v>3</v>
      </c>
      <c r="D3" s="5"/>
      <c r="E3" s="6" t="str">
        <f>HYPERLINK("https://goo.gl/unDETI","Latest Version")</f>
        <v>Latest Version</v>
      </c>
      <c r="F3" s="7"/>
      <c r="G3" s="7"/>
      <c r="H3" s="7"/>
    </row>
    <row r="4">
      <c r="B4" s="8" t="s">
        <v>4</v>
      </c>
      <c r="F4" s="7"/>
      <c r="G4" s="7"/>
      <c r="H4" s="7"/>
    </row>
    <row r="5">
      <c r="B5" s="7" t="s">
        <v>5</v>
      </c>
      <c r="D5" s="9" t="s">
        <v>6</v>
      </c>
      <c r="E5" s="7"/>
      <c r="F5" s="7"/>
      <c r="G5" s="7"/>
      <c r="H5" s="7"/>
    </row>
    <row r="6">
      <c r="B6" s="10"/>
      <c r="C6" s="10"/>
      <c r="D6" s="10"/>
      <c r="E6" s="10"/>
      <c r="F6" s="10"/>
      <c r="G6" s="10"/>
      <c r="H6" s="7"/>
    </row>
    <row r="7">
      <c r="B7" s="10" t="s">
        <v>7</v>
      </c>
      <c r="F7" s="10"/>
      <c r="G7" s="10"/>
      <c r="H7" s="7"/>
    </row>
    <row r="8">
      <c r="B8" s="11" t="str">
        <f>HYPERLINK("https://www.youtube.com/watch?v=DZ6YTtILCE8","Video Introducing roadmap (Arabic) - to min 18 ONLY")</f>
        <v>Video Introducing roadmap (Arabic) - to min 18 ONLY</v>
      </c>
      <c r="E8" s="12"/>
      <c r="F8" s="10"/>
      <c r="G8" s="10"/>
      <c r="H8" s="7"/>
    </row>
    <row r="9">
      <c r="B9" s="9" t="s">
        <v>8</v>
      </c>
      <c r="D9" s="11"/>
      <c r="E9" s="12"/>
      <c r="F9" s="10"/>
      <c r="G9" s="10"/>
      <c r="H9" s="7"/>
    </row>
    <row r="10">
      <c r="B10" s="13" t="s">
        <v>9</v>
      </c>
      <c r="H10" s="7"/>
    </row>
    <row r="11">
      <c r="B11" s="12"/>
      <c r="C11" s="12"/>
      <c r="D11" s="12"/>
      <c r="E11" s="12"/>
      <c r="F11" s="10"/>
      <c r="G11" s="10"/>
      <c r="H11" s="7"/>
    </row>
    <row r="12">
      <c r="B12" s="13" t="s">
        <v>10</v>
      </c>
      <c r="H12" s="7"/>
    </row>
    <row r="13">
      <c r="B13" s="14" t="s">
        <v>11</v>
      </c>
      <c r="G13" s="15" t="s">
        <v>12</v>
      </c>
      <c r="H13" s="7"/>
    </row>
    <row r="14">
      <c r="A14" s="16"/>
      <c r="B14" s="17"/>
      <c r="C14" s="17"/>
      <c r="D14" s="17"/>
      <c r="E14" s="17"/>
      <c r="F14" s="17"/>
      <c r="G14" s="17"/>
      <c r="H14" s="17"/>
    </row>
    <row r="15">
      <c r="A15" s="18" t="s">
        <v>13</v>
      </c>
      <c r="B15" s="19" t="s">
        <v>14</v>
      </c>
      <c r="G15" s="20"/>
      <c r="H15" s="20"/>
    </row>
    <row r="16">
      <c r="B16" s="21" t="s">
        <v>15</v>
      </c>
      <c r="H16" s="22"/>
    </row>
    <row r="17">
      <c r="B17" s="23"/>
      <c r="H17" s="22"/>
    </row>
    <row r="18">
      <c r="A18" s="16"/>
      <c r="B18" s="17"/>
      <c r="C18" s="17"/>
      <c r="D18" s="17"/>
      <c r="E18" s="17"/>
      <c r="F18" s="17"/>
      <c r="G18" s="17"/>
      <c r="H18" s="17"/>
    </row>
    <row r="19">
      <c r="A19" s="24" t="s">
        <v>16</v>
      </c>
      <c r="B19" s="25" t="s">
        <v>17</v>
      </c>
    </row>
    <row r="20">
      <c r="B20" s="26" t="s">
        <v>18</v>
      </c>
      <c r="F20" s="17" t="s">
        <v>19</v>
      </c>
    </row>
    <row r="21">
      <c r="B21" s="26" t="s">
        <v>20</v>
      </c>
      <c r="G21" s="17"/>
      <c r="H21" s="17"/>
    </row>
    <row r="22">
      <c r="B22" s="26" t="s">
        <v>21</v>
      </c>
      <c r="F22" s="17"/>
      <c r="G22" s="17"/>
      <c r="H22" s="17"/>
    </row>
    <row r="23">
      <c r="B23" s="26"/>
      <c r="C23" s="26"/>
      <c r="D23" s="26"/>
      <c r="E23" s="26"/>
      <c r="F23" s="17"/>
      <c r="G23" s="17"/>
      <c r="H23" s="17"/>
    </row>
    <row r="24">
      <c r="B24" s="27"/>
      <c r="F24" s="17"/>
      <c r="G24" s="17"/>
      <c r="H24" s="17"/>
    </row>
    <row r="25">
      <c r="A25" s="16"/>
      <c r="B25" s="17"/>
      <c r="C25" s="17"/>
      <c r="D25" s="17"/>
      <c r="E25" s="17"/>
      <c r="F25" s="17"/>
      <c r="G25" s="17"/>
      <c r="H25" s="17"/>
    </row>
    <row r="26">
      <c r="A26" s="28" t="s">
        <v>22</v>
      </c>
      <c r="B26" s="17" t="s">
        <v>23</v>
      </c>
      <c r="H26" s="17"/>
    </row>
    <row r="27">
      <c r="A27" s="16"/>
      <c r="B27" s="17"/>
      <c r="C27" s="17"/>
      <c r="D27" s="17"/>
      <c r="E27" s="17"/>
      <c r="F27" s="17"/>
      <c r="G27" s="17"/>
      <c r="H27" s="17"/>
    </row>
    <row r="28">
      <c r="A28" s="1" t="s">
        <v>24</v>
      </c>
      <c r="B28" s="19" t="s">
        <v>25</v>
      </c>
    </row>
    <row r="29">
      <c r="A29" s="1" t="s">
        <v>26</v>
      </c>
      <c r="B29" s="19" t="s">
        <v>27</v>
      </c>
    </row>
    <row r="30">
      <c r="A30" s="1"/>
      <c r="B30" s="19"/>
      <c r="C30" s="19"/>
      <c r="D30" s="19"/>
      <c r="E30" s="19"/>
      <c r="F30" s="19"/>
      <c r="G30" s="19"/>
      <c r="H30" s="19"/>
    </row>
    <row r="31">
      <c r="A31" s="1" t="s">
        <v>28</v>
      </c>
      <c r="B31" s="19" t="s">
        <v>29</v>
      </c>
    </row>
    <row r="32">
      <c r="A32" s="1"/>
      <c r="B32" s="19"/>
      <c r="C32" s="19"/>
      <c r="D32" s="19"/>
      <c r="E32" s="19"/>
      <c r="F32" s="19"/>
      <c r="G32" s="19"/>
      <c r="H32" s="19"/>
    </row>
    <row r="33">
      <c r="A33" s="29" t="s">
        <v>30</v>
      </c>
      <c r="B33" s="19" t="s">
        <v>31</v>
      </c>
    </row>
    <row r="34">
      <c r="A34" s="30" t="s">
        <v>32</v>
      </c>
      <c r="B34" s="19" t="s">
        <v>33</v>
      </c>
    </row>
    <row r="35">
      <c r="A35" s="31"/>
      <c r="B35" s="32"/>
      <c r="C35" s="32"/>
      <c r="D35" s="11"/>
      <c r="E35" s="19"/>
      <c r="F35" s="19"/>
      <c r="G35" s="19"/>
      <c r="H35" s="33"/>
    </row>
    <row r="36">
      <c r="A36" s="34"/>
      <c r="B36" s="35"/>
      <c r="C36" s="35"/>
      <c r="D36" s="35"/>
      <c r="E36" s="35"/>
      <c r="F36" s="35"/>
      <c r="G36" s="35"/>
      <c r="H36" s="35"/>
    </row>
    <row r="37">
      <c r="A37" s="30" t="s">
        <v>34</v>
      </c>
      <c r="B37" s="19" t="s">
        <v>35</v>
      </c>
    </row>
    <row r="38">
      <c r="A38" s="30" t="s">
        <v>36</v>
      </c>
      <c r="B38" s="32" t="s">
        <v>37</v>
      </c>
    </row>
    <row r="39">
      <c r="A39" s="34"/>
      <c r="B39" s="35"/>
      <c r="C39" s="35"/>
      <c r="D39" s="35"/>
      <c r="E39" s="35"/>
      <c r="F39" s="35"/>
      <c r="G39" s="35"/>
      <c r="H39" s="35"/>
    </row>
    <row r="40">
      <c r="A40" s="30" t="s">
        <v>38</v>
      </c>
      <c r="B40" s="19" t="s">
        <v>39</v>
      </c>
    </row>
    <row r="41">
      <c r="B41" s="19" t="s">
        <v>40</v>
      </c>
    </row>
    <row r="42">
      <c r="B42" s="32" t="s">
        <v>41</v>
      </c>
    </row>
    <row r="43">
      <c r="B43" s="19" t="s">
        <v>42</v>
      </c>
    </row>
    <row r="44">
      <c r="B44" s="32" t="s">
        <v>43</v>
      </c>
    </row>
    <row r="45">
      <c r="B45" s="19" t="s">
        <v>44</v>
      </c>
    </row>
    <row r="46">
      <c r="B46" s="19" t="s">
        <v>45</v>
      </c>
    </row>
    <row r="47">
      <c r="B47" s="20" t="str">
        <f>HYPERLINK("https://uva.onlinejudge.org/index.php?option=com_content&amp;task=view&amp;id=16&amp;Itemid=31","Put problem Status")</f>
        <v>Put problem Status</v>
      </c>
      <c r="C47" s="36" t="s">
        <v>46</v>
      </c>
      <c r="D47" s="36" t="s">
        <v>47</v>
      </c>
      <c r="E47" s="37" t="s">
        <v>48</v>
      </c>
    </row>
    <row r="48">
      <c r="B48" s="19" t="s">
        <v>49</v>
      </c>
    </row>
    <row r="49">
      <c r="B49" s="19" t="s">
        <v>50</v>
      </c>
    </row>
    <row r="50">
      <c r="B50" s="19" t="s">
        <v>51</v>
      </c>
    </row>
    <row r="51">
      <c r="A51" s="34"/>
      <c r="B51" s="35"/>
      <c r="C51" s="35"/>
      <c r="D51" s="35"/>
      <c r="E51" s="35"/>
      <c r="F51" s="35"/>
      <c r="G51" s="35"/>
      <c r="H51" s="35"/>
    </row>
    <row r="52">
      <c r="A52" s="38" t="s">
        <v>52</v>
      </c>
      <c r="B52" s="39" t="s">
        <v>53</v>
      </c>
    </row>
    <row r="53">
      <c r="A53" s="34"/>
      <c r="B53" s="35"/>
      <c r="C53" s="35"/>
      <c r="D53" s="35"/>
      <c r="E53" s="35"/>
      <c r="F53" s="35"/>
      <c r="G53" s="35"/>
      <c r="H53" s="35"/>
    </row>
    <row r="54">
      <c r="A54" s="30" t="s">
        <v>54</v>
      </c>
      <c r="B54" s="40" t="str">
        <f>HYPERLINK("http://codeforces.com/contest/136/problem/A","CF136-D2-A")</f>
        <v>CF136-D2-A</v>
      </c>
      <c r="C54" s="19" t="s">
        <v>55</v>
      </c>
    </row>
    <row r="55">
      <c r="B55" s="19" t="s">
        <v>56</v>
      </c>
      <c r="C55" s="19" t="s">
        <v>57</v>
      </c>
    </row>
    <row r="56">
      <c r="A56" s="34"/>
      <c r="B56" s="41" t="s">
        <v>58</v>
      </c>
      <c r="C56" s="42"/>
      <c r="D56" s="42"/>
      <c r="E56" s="42"/>
      <c r="F56" s="42"/>
      <c r="G56" s="42"/>
      <c r="H56" s="43"/>
    </row>
    <row r="57">
      <c r="A57" s="34"/>
      <c r="B57" s="35"/>
      <c r="C57" s="35"/>
      <c r="D57" s="35"/>
      <c r="E57" s="35"/>
      <c r="F57" s="35"/>
      <c r="G57" s="35"/>
      <c r="H57" s="35"/>
    </row>
    <row r="58">
      <c r="A58" s="1" t="s">
        <v>59</v>
      </c>
      <c r="B58" s="44" t="str">
        <f>HYPERLINK("http://codeforces.com/contest/483/problem/A","CF483-D2-A")</f>
        <v>CF483-D2-A</v>
      </c>
      <c r="C58" s="45" t="s">
        <v>60</v>
      </c>
    </row>
    <row r="59">
      <c r="B59" s="46" t="str">
        <f>HYPERLINK("https://uva.onlinejudge.org/index.php?option=onlinejudge&amp;page=show_problem&amp;problem=1183","UVA 10242")</f>
        <v>UVA 10242</v>
      </c>
      <c r="C59" s="47" t="s">
        <v>61</v>
      </c>
    </row>
    <row r="60">
      <c r="B60" s="48" t="str">
        <f>HYPERLINK("http://www.spoj.com/problems/CDOWN/","SPOJ CDOWN")</f>
        <v>SPOJ CDOWN</v>
      </c>
      <c r="C60" s="47" t="s">
        <v>62</v>
      </c>
    </row>
    <row r="61" ht="17.25" customHeight="1">
      <c r="B61" s="49" t="str">
        <f>HYPERLINK("http://codeforces.com/contest/518/problem/B","CF518-D2-B")</f>
        <v>CF518-D2-B</v>
      </c>
      <c r="C61" s="45" t="s">
        <v>63</v>
      </c>
    </row>
    <row r="62">
      <c r="A62" s="34"/>
      <c r="B62" s="47"/>
      <c r="C62" s="47"/>
      <c r="D62" s="47"/>
      <c r="E62" s="47"/>
      <c r="F62" s="47"/>
      <c r="G62" s="47"/>
      <c r="H62" s="47"/>
    </row>
    <row r="63">
      <c r="A63" s="30" t="s">
        <v>64</v>
      </c>
      <c r="B63" s="17" t="s">
        <v>65</v>
      </c>
    </row>
    <row r="64">
      <c r="A64" s="34"/>
      <c r="B64" s="50"/>
      <c r="C64" s="50"/>
      <c r="D64" s="50"/>
      <c r="E64" s="50"/>
      <c r="F64" s="50"/>
      <c r="G64" s="50"/>
      <c r="H64" s="50"/>
    </row>
    <row r="65">
      <c r="A65" s="1" t="s">
        <v>66</v>
      </c>
      <c r="B65" s="17" t="s">
        <v>67</v>
      </c>
    </row>
    <row r="66">
      <c r="A66" s="34"/>
      <c r="B66" s="50"/>
      <c r="C66" s="50"/>
      <c r="D66" s="50"/>
      <c r="E66" s="50"/>
      <c r="F66" s="50"/>
      <c r="G66" s="50"/>
      <c r="H66" s="50"/>
    </row>
    <row r="67">
      <c r="A67" s="1" t="s">
        <v>68</v>
      </c>
      <c r="B67" s="51" t="str">
        <f>HYPERLINK("https://github.com/lnishan/awesome-competitive-programming","Awesome Competitive Programming")</f>
        <v>Awesome Competitive Programming</v>
      </c>
      <c r="D67" s="39" t="s">
        <v>69</v>
      </c>
    </row>
    <row r="68">
      <c r="B68" s="51" t="str">
        <f>HYPERLINK("https://github.com/AhmadElsagheer/Competitive-programming-library/tree/master/curriculum","Ahmed Elsaghir Trainnig")</f>
        <v>Ahmed Elsaghir Trainnig</v>
      </c>
      <c r="D68" s="39" t="s">
        <v>70</v>
      </c>
    </row>
    <row r="69">
      <c r="B69" s="51" t="str">
        <f>HYPERLINK("https://a2oj.com/ladders","A2oj Ladders")</f>
        <v>A2oj Ladders</v>
      </c>
      <c r="D69" s="39" t="s">
        <v>71</v>
      </c>
    </row>
    <row r="70">
      <c r="B70" s="52" t="str">
        <f>HYPERLINK("https://www.youtube.com/watch?v=mUSajNUEWxg&amp;list=PLb7yniFBnvZIdfxYIKqNlGsTf5oZy4dKk","Prgramming Ahmed M sayd")</f>
        <v>Prgramming Ahmed M sayd</v>
      </c>
      <c r="D70" s="39" t="s">
        <v>72</v>
      </c>
    </row>
    <row r="71">
      <c r="B71" s="53" t="s">
        <v>73</v>
      </c>
      <c r="D71" s="39" t="s">
        <v>72</v>
      </c>
    </row>
    <row r="72">
      <c r="B72" s="52" t="str">
        <f>HYPERLINK("https://www.youtube.com/playlist?list=PLPt2dINI2MIZi6jW3pFvP9AHDsNi5XlD1","More Resources")</f>
        <v>More Resources</v>
      </c>
      <c r="C72" s="54"/>
      <c r="D72" s="39" t="s">
        <v>74</v>
      </c>
    </row>
    <row r="73">
      <c r="A73" s="34"/>
      <c r="B73" s="22"/>
      <c r="C73" s="22"/>
      <c r="D73" s="22"/>
      <c r="E73" s="22"/>
      <c r="F73" s="22"/>
      <c r="G73" s="22"/>
      <c r="H73" s="22"/>
    </row>
    <row r="74">
      <c r="A74" s="55" t="s">
        <v>75</v>
      </c>
      <c r="B74" s="56" t="s">
        <v>76</v>
      </c>
    </row>
    <row r="75">
      <c r="B75" s="56" t="s">
        <v>77</v>
      </c>
    </row>
    <row r="76">
      <c r="B76" s="57" t="s">
        <v>78</v>
      </c>
    </row>
    <row r="77">
      <c r="B77" s="58" t="s">
        <v>79</v>
      </c>
    </row>
    <row r="78">
      <c r="B78" s="57" t="s">
        <v>80</v>
      </c>
      <c r="C78" s="19"/>
      <c r="D78" s="19"/>
      <c r="E78" s="19"/>
      <c r="F78" s="19"/>
      <c r="G78" s="19"/>
      <c r="H78" s="19"/>
    </row>
    <row r="79">
      <c r="B79" s="19" t="s">
        <v>81</v>
      </c>
    </row>
    <row r="80">
      <c r="B80" s="58" t="s">
        <v>82</v>
      </c>
    </row>
    <row r="81">
      <c r="A81" s="59"/>
      <c r="B81" s="47"/>
      <c r="C81" s="47"/>
      <c r="D81" s="47"/>
      <c r="E81" s="47"/>
      <c r="F81" s="47"/>
      <c r="G81" s="47"/>
      <c r="H81" s="47"/>
    </row>
    <row r="82">
      <c r="A82" s="59"/>
      <c r="B82" s="47"/>
      <c r="C82" s="47"/>
      <c r="D82" s="47"/>
      <c r="E82" s="47"/>
      <c r="F82" s="47"/>
      <c r="G82" s="47"/>
      <c r="H82" s="47"/>
    </row>
    <row r="83">
      <c r="A83" s="60" t="s">
        <v>83</v>
      </c>
    </row>
    <row r="84">
      <c r="A84" s="60" t="s">
        <v>84</v>
      </c>
    </row>
    <row r="85">
      <c r="A85" s="60" t="s">
        <v>85</v>
      </c>
    </row>
  </sheetData>
  <mergeCells count="77">
    <mergeCell ref="B34:H34"/>
    <mergeCell ref="B37:H37"/>
    <mergeCell ref="B38:H38"/>
    <mergeCell ref="B40:H40"/>
    <mergeCell ref="B41:H41"/>
    <mergeCell ref="B42:H42"/>
    <mergeCell ref="B43:H43"/>
    <mergeCell ref="B44:H44"/>
    <mergeCell ref="B45:H45"/>
    <mergeCell ref="B46:H46"/>
    <mergeCell ref="E47:H47"/>
    <mergeCell ref="B48:H48"/>
    <mergeCell ref="B49:H49"/>
    <mergeCell ref="B50:H50"/>
    <mergeCell ref="B69:C69"/>
    <mergeCell ref="D69:H69"/>
    <mergeCell ref="C61:H61"/>
    <mergeCell ref="B63:H63"/>
    <mergeCell ref="B65:H65"/>
    <mergeCell ref="B67:C67"/>
    <mergeCell ref="D67:H67"/>
    <mergeCell ref="B68:C68"/>
    <mergeCell ref="D68:H68"/>
    <mergeCell ref="B76:H76"/>
    <mergeCell ref="B77:H77"/>
    <mergeCell ref="B70:C70"/>
    <mergeCell ref="D70:H70"/>
    <mergeCell ref="B71:C71"/>
    <mergeCell ref="D71:H71"/>
    <mergeCell ref="D72:H72"/>
    <mergeCell ref="B74:H74"/>
    <mergeCell ref="B75:H75"/>
    <mergeCell ref="B8:D8"/>
    <mergeCell ref="B9:C9"/>
    <mergeCell ref="B10:G10"/>
    <mergeCell ref="B12:G12"/>
    <mergeCell ref="A1:A13"/>
    <mergeCell ref="A15:A17"/>
    <mergeCell ref="A19:A24"/>
    <mergeCell ref="A40:A50"/>
    <mergeCell ref="A54:A55"/>
    <mergeCell ref="A58:A61"/>
    <mergeCell ref="A67:A72"/>
    <mergeCell ref="A74:A80"/>
    <mergeCell ref="B1:H1"/>
    <mergeCell ref="B2:H2"/>
    <mergeCell ref="B3:C3"/>
    <mergeCell ref="B4:E4"/>
    <mergeCell ref="B5:C5"/>
    <mergeCell ref="B7:E7"/>
    <mergeCell ref="B13:F13"/>
    <mergeCell ref="B15:F15"/>
    <mergeCell ref="B16:D16"/>
    <mergeCell ref="B17:G17"/>
    <mergeCell ref="B19:E19"/>
    <mergeCell ref="B20:E20"/>
    <mergeCell ref="F20:H20"/>
    <mergeCell ref="B21:F21"/>
    <mergeCell ref="B22:E22"/>
    <mergeCell ref="B24:E24"/>
    <mergeCell ref="B26:G26"/>
    <mergeCell ref="B28:H28"/>
    <mergeCell ref="B29:H29"/>
    <mergeCell ref="B31:H31"/>
    <mergeCell ref="B33:H33"/>
    <mergeCell ref="B79:H79"/>
    <mergeCell ref="B80:H80"/>
    <mergeCell ref="A83:H83"/>
    <mergeCell ref="A84:H84"/>
    <mergeCell ref="A85:H85"/>
    <mergeCell ref="B52:H52"/>
    <mergeCell ref="C54:H54"/>
    <mergeCell ref="C55:H55"/>
    <mergeCell ref="B56:H56"/>
    <mergeCell ref="C58:H58"/>
    <mergeCell ref="C59:H59"/>
    <mergeCell ref="C60:H60"/>
  </mergeCells>
  <hyperlinks>
    <hyperlink r:id="rId1" ref="D5"/>
    <hyperlink r:id="rId2" ref="B9"/>
    <hyperlink r:id="rId3" ref="B10"/>
    <hyperlink r:id="rId4" ref="B12"/>
    <hyperlink r:id="rId5" ref="G13"/>
    <hyperlink r:id="rId6" ref="B19"/>
    <hyperlink r:id="rId7" ref="B20"/>
    <hyperlink r:id="rId8" ref="B21"/>
    <hyperlink r:id="rId9" ref="B22"/>
    <hyperlink r:id="rId10" ref="A26"/>
    <hyperlink r:id="rId11" ref="B71"/>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67.43"/>
  </cols>
  <sheetData>
    <row r="1">
      <c r="A1" s="61" t="s">
        <v>86</v>
      </c>
    </row>
    <row r="2">
      <c r="A2" s="21" t="s">
        <v>87</v>
      </c>
    </row>
    <row r="4">
      <c r="A4" s="62" t="s">
        <v>88</v>
      </c>
    </row>
    <row r="5">
      <c r="A5" s="17" t="s">
        <v>89</v>
      </c>
    </row>
    <row r="6">
      <c r="A6" s="63" t="s">
        <v>90</v>
      </c>
    </row>
    <row r="7">
      <c r="A7" s="21" t="s">
        <v>91</v>
      </c>
    </row>
    <row r="9">
      <c r="A9" s="61" t="s">
        <v>92</v>
      </c>
    </row>
    <row r="10">
      <c r="A10" s="64" t="s">
        <v>93</v>
      </c>
    </row>
    <row r="12">
      <c r="A12" s="61" t="s">
        <v>94</v>
      </c>
    </row>
    <row r="13">
      <c r="A13" s="21" t="s">
        <v>95</v>
      </c>
    </row>
    <row r="15">
      <c r="A15" s="61" t="s">
        <v>96</v>
      </c>
    </row>
    <row r="16">
      <c r="A16" s="21" t="s">
        <v>97</v>
      </c>
    </row>
    <row r="18">
      <c r="A18" s="61" t="s">
        <v>98</v>
      </c>
    </row>
    <row r="19">
      <c r="A19" s="21" t="s">
        <v>99</v>
      </c>
    </row>
    <row r="21">
      <c r="A21" s="61" t="s">
        <v>100</v>
      </c>
    </row>
    <row r="22">
      <c r="A22" s="21" t="s">
        <v>101</v>
      </c>
    </row>
    <row r="24">
      <c r="A24" s="61" t="s">
        <v>102</v>
      </c>
    </row>
    <row r="25">
      <c r="A25" s="21" t="s">
        <v>103</v>
      </c>
    </row>
    <row r="27">
      <c r="A27" s="65" t="s">
        <v>104</v>
      </c>
    </row>
    <row r="28">
      <c r="A28" s="47" t="s">
        <v>105</v>
      </c>
    </row>
    <row r="29">
      <c r="A29" s="47"/>
    </row>
    <row r="30">
      <c r="A30" s="65" t="s">
        <v>106</v>
      </c>
    </row>
    <row r="31">
      <c r="A31" s="21" t="s">
        <v>107</v>
      </c>
    </row>
    <row r="33">
      <c r="A33" s="65" t="s">
        <v>108</v>
      </c>
    </row>
    <row r="34">
      <c r="A34" s="21" t="s">
        <v>109</v>
      </c>
    </row>
    <row r="36">
      <c r="A36" s="21" t="s">
        <v>110</v>
      </c>
    </row>
    <row r="38">
      <c r="A38" s="65" t="s">
        <v>111</v>
      </c>
    </row>
    <row r="39">
      <c r="A39" s="21" t="s">
        <v>112</v>
      </c>
    </row>
    <row r="41">
      <c r="A41" s="65" t="s">
        <v>113</v>
      </c>
    </row>
    <row r="42">
      <c r="A42" s="21" t="s">
        <v>114</v>
      </c>
    </row>
    <row r="45">
      <c r="A45" s="65" t="s">
        <v>115</v>
      </c>
    </row>
    <row r="46">
      <c r="A46" s="21" t="s">
        <v>116</v>
      </c>
    </row>
    <row r="48">
      <c r="A48" s="65" t="s">
        <v>117</v>
      </c>
    </row>
    <row r="49">
      <c r="A49" s="21" t="s">
        <v>118</v>
      </c>
    </row>
    <row r="51">
      <c r="A51" s="65" t="s">
        <v>119</v>
      </c>
    </row>
    <row r="52">
      <c r="A52" s="21" t="s">
        <v>120</v>
      </c>
    </row>
    <row r="54">
      <c r="A54" s="65" t="s">
        <v>121</v>
      </c>
    </row>
    <row r="55">
      <c r="A55" s="21" t="s">
        <v>122</v>
      </c>
    </row>
    <row r="57">
      <c r="A57" s="65" t="s">
        <v>123</v>
      </c>
    </row>
    <row r="58">
      <c r="A58" s="21" t="s">
        <v>124</v>
      </c>
    </row>
    <row r="60">
      <c r="A60" s="65" t="s">
        <v>125</v>
      </c>
    </row>
    <row r="61">
      <c r="A61" s="21" t="s">
        <v>126</v>
      </c>
    </row>
    <row r="63">
      <c r="A63" s="65" t="s">
        <v>127</v>
      </c>
    </row>
    <row r="64">
      <c r="A64" s="64" t="s">
        <v>128</v>
      </c>
    </row>
    <row r="66">
      <c r="A66" s="65" t="s">
        <v>129</v>
      </c>
    </row>
    <row r="67">
      <c r="A67" s="21" t="s">
        <v>130</v>
      </c>
    </row>
    <row r="69">
      <c r="A69" s="65" t="s">
        <v>131</v>
      </c>
    </row>
    <row r="70">
      <c r="A70" s="21" t="s">
        <v>132</v>
      </c>
    </row>
    <row r="72">
      <c r="A72" s="65" t="s">
        <v>133</v>
      </c>
    </row>
    <row r="73">
      <c r="A73" s="64" t="s">
        <v>134</v>
      </c>
    </row>
    <row r="75">
      <c r="A75" s="65" t="s">
        <v>135</v>
      </c>
    </row>
    <row r="76">
      <c r="A76" s="64" t="s">
        <v>136</v>
      </c>
    </row>
    <row r="78">
      <c r="A78" s="65" t="s">
        <v>137</v>
      </c>
    </row>
    <row r="79">
      <c r="A79" s="21" t="s">
        <v>138</v>
      </c>
    </row>
    <row r="81">
      <c r="A81" s="65" t="s">
        <v>139</v>
      </c>
    </row>
    <row r="82">
      <c r="A82" s="21" t="s">
        <v>140</v>
      </c>
    </row>
    <row r="84">
      <c r="A84" s="65" t="s">
        <v>141</v>
      </c>
    </row>
    <row r="85">
      <c r="A85" s="21" t="s">
        <v>142</v>
      </c>
    </row>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3.43"/>
    <col customWidth="1" min="2" max="2" width="15.29"/>
    <col customWidth="1" min="3" max="3" width="6.86"/>
    <col customWidth="1" min="4" max="4" width="8.14"/>
    <col customWidth="1" min="5" max="5" width="8.43"/>
    <col customWidth="1" min="6" max="6" width="8.71"/>
    <col customWidth="1" min="7" max="7" width="10.0"/>
    <col customWidth="1" min="8" max="9" width="8.57"/>
    <col customWidth="1" min="10" max="12" width="10.0"/>
    <col customWidth="1" min="13" max="13" width="74.86"/>
  </cols>
  <sheetData>
    <row r="1">
      <c r="A1" s="66" t="s">
        <v>143</v>
      </c>
      <c r="B1" s="67" t="s">
        <v>144</v>
      </c>
      <c r="C1" s="68" t="s">
        <v>145</v>
      </c>
      <c r="D1" s="69" t="s">
        <v>146</v>
      </c>
      <c r="E1" s="69" t="s">
        <v>147</v>
      </c>
      <c r="F1" s="68" t="s">
        <v>148</v>
      </c>
      <c r="G1" s="69" t="s">
        <v>149</v>
      </c>
      <c r="H1" s="69" t="s">
        <v>150</v>
      </c>
      <c r="I1" s="69" t="s">
        <v>151</v>
      </c>
      <c r="J1" s="68" t="s">
        <v>152</v>
      </c>
      <c r="K1" s="68" t="s">
        <v>153</v>
      </c>
      <c r="L1" s="68" t="s">
        <v>154</v>
      </c>
      <c r="M1" s="70" t="s">
        <v>155</v>
      </c>
    </row>
    <row r="2">
      <c r="A2" s="71"/>
      <c r="B2" s="72" t="s">
        <v>156</v>
      </c>
      <c r="C2" s="73">
        <f>countif(C3:C10520, "AC")</f>
        <v>3</v>
      </c>
      <c r="D2" s="74">
        <f>ROUND(SUMPRODUCT(D3:D10520,INT(EQ(C3:C10520, "AC")))/MAX(1, C2),1)</f>
        <v>2.3</v>
      </c>
      <c r="E2" s="74">
        <f>ROUND(SUMPRODUCT(E3:E10542,INT(EQ(C3:C10542, "AC")))/MAX(1, C2),0)</f>
        <v>5</v>
      </c>
      <c r="F2" s="74">
        <f>ROUND(SUMPRODUCT(F3:F10545,INT(EQ(C3:C10545, "AC")))/MAX(1, C2),0)</f>
        <v>13</v>
      </c>
      <c r="G2" s="74">
        <f>ROUND(SUMPRODUCT(G3:G10545,INT(EQ(C3:C10545, "AC")))/MAX(1, C2),0)</f>
        <v>15</v>
      </c>
      <c r="H2" s="74">
        <f>ROUND(SUMPRODUCT(H3:H10545,INT(EQ(C3:C10545, "AC")))/MAX(1, C2),0)</f>
        <v>18</v>
      </c>
      <c r="I2" s="74">
        <f>ROUND(SUMPRODUCT(I3:I10517,INT(EQ(C3:C10517, "AC")))/MAX(1, C2),0)</f>
        <v>50</v>
      </c>
      <c r="J2" s="74">
        <f>ROUND(SUMPRODUCT(J3:J10515,INT(EQ(C3:C10515, "AC")))/MAX(1, C2),1)</f>
        <v>2</v>
      </c>
      <c r="K2" s="74">
        <f>SUMPRODUCT(EQ(K3:K10520, "YES"),INT(EQ(C3:C10545, "AC")))</f>
        <v>2</v>
      </c>
      <c r="L2" s="75">
        <f>IFERROR(__xludf.DUMMYFUNCTION("COUNTA(FILTER(C3:C10012, NOT(REGEXMATCH(C3:C10012, ""AC""))))"),2.0)</f>
        <v>2</v>
      </c>
      <c r="M2" s="76">
        <f>IFERROR(__xludf.DUMMYFUNCTION("COUNTA(FILTER(C3:C10006, NOT(REGEXMATCH(C3:C10006, ""AC""))))"),2.0)</f>
        <v>2</v>
      </c>
    </row>
    <row r="3">
      <c r="A3" s="77" t="s">
        <v>157</v>
      </c>
      <c r="B3" s="78" t="s">
        <v>158</v>
      </c>
      <c r="C3" s="79" t="s">
        <v>159</v>
      </c>
      <c r="D3" s="80">
        <v>5.0</v>
      </c>
      <c r="E3" s="80">
        <v>4.0</v>
      </c>
      <c r="F3" s="80">
        <v>8.0</v>
      </c>
      <c r="G3" s="80">
        <v>6.0</v>
      </c>
      <c r="H3" s="80">
        <v>32.0</v>
      </c>
      <c r="I3" s="81">
        <f t="shared" ref="I3:I29" si="1">SUM(E3:H3)</f>
        <v>50</v>
      </c>
      <c r="J3" s="81">
        <v>2.0</v>
      </c>
      <c r="K3" s="80" t="s">
        <v>160</v>
      </c>
      <c r="L3" s="80" t="s">
        <v>161</v>
      </c>
      <c r="M3" s="82" t="s">
        <v>162</v>
      </c>
    </row>
    <row r="4">
      <c r="A4" s="77" t="s">
        <v>163</v>
      </c>
      <c r="B4" s="78" t="s">
        <v>164</v>
      </c>
      <c r="C4" s="79" t="s">
        <v>159</v>
      </c>
      <c r="D4" s="80">
        <v>1.0</v>
      </c>
      <c r="E4" s="80">
        <v>5.0</v>
      </c>
      <c r="F4" s="80">
        <v>10.0</v>
      </c>
      <c r="G4" s="80">
        <v>35.0</v>
      </c>
      <c r="H4" s="80">
        <v>20.0</v>
      </c>
      <c r="I4" s="81">
        <f t="shared" si="1"/>
        <v>70</v>
      </c>
      <c r="J4" s="81">
        <v>2.0</v>
      </c>
      <c r="K4" s="80" t="s">
        <v>165</v>
      </c>
      <c r="L4" s="80" t="s">
        <v>166</v>
      </c>
      <c r="M4" s="83" t="s">
        <v>167</v>
      </c>
    </row>
    <row r="5">
      <c r="A5" s="77" t="s">
        <v>168</v>
      </c>
      <c r="B5" s="78" t="s">
        <v>169</v>
      </c>
      <c r="C5" s="79" t="s">
        <v>159</v>
      </c>
      <c r="D5" s="80">
        <v>1.0</v>
      </c>
      <c r="E5" s="80">
        <v>5.0</v>
      </c>
      <c r="F5" s="80">
        <v>20.0</v>
      </c>
      <c r="G5" s="80">
        <v>4.0</v>
      </c>
      <c r="H5" s="80">
        <v>1.0</v>
      </c>
      <c r="I5" s="81">
        <f t="shared" si="1"/>
        <v>30</v>
      </c>
      <c r="J5" s="81">
        <v>2.0</v>
      </c>
      <c r="K5" s="80" t="s">
        <v>160</v>
      </c>
      <c r="L5" s="80" t="s">
        <v>170</v>
      </c>
      <c r="M5" s="83" t="s">
        <v>171</v>
      </c>
    </row>
    <row r="6">
      <c r="A6" s="77" t="s">
        <v>172</v>
      </c>
      <c r="B6" s="78" t="s">
        <v>173</v>
      </c>
      <c r="C6" s="84" t="s">
        <v>174</v>
      </c>
      <c r="D6" s="81">
        <v>5.0</v>
      </c>
      <c r="E6" s="81">
        <v>4.0</v>
      </c>
      <c r="F6" s="81">
        <v>25.0</v>
      </c>
      <c r="G6" s="81">
        <v>20.0</v>
      </c>
      <c r="H6" s="80">
        <v>2.0</v>
      </c>
      <c r="I6" s="81">
        <f t="shared" si="1"/>
        <v>51</v>
      </c>
      <c r="J6" s="80">
        <v>7.0</v>
      </c>
      <c r="K6" s="80" t="s">
        <v>175</v>
      </c>
      <c r="L6" s="80" t="s">
        <v>161</v>
      </c>
      <c r="M6" s="83" t="s">
        <v>176</v>
      </c>
    </row>
    <row r="7">
      <c r="A7" s="77" t="s">
        <v>177</v>
      </c>
      <c r="B7" s="78" t="s">
        <v>178</v>
      </c>
      <c r="C7" s="85" t="s">
        <v>179</v>
      </c>
      <c r="D7" s="80">
        <v>6.0</v>
      </c>
      <c r="E7" s="80">
        <v>5.0</v>
      </c>
      <c r="F7" s="80">
        <v>30.0</v>
      </c>
      <c r="G7" s="80">
        <v>25.0</v>
      </c>
      <c r="H7" s="80">
        <v>31.0</v>
      </c>
      <c r="I7" s="81">
        <f t="shared" si="1"/>
        <v>91</v>
      </c>
      <c r="J7" s="80">
        <v>9.0</v>
      </c>
      <c r="K7" s="80"/>
      <c r="L7" s="80"/>
      <c r="M7" s="77" t="s">
        <v>180</v>
      </c>
    </row>
    <row r="8">
      <c r="A8" s="77"/>
      <c r="B8" s="78"/>
      <c r="C8" s="72"/>
      <c r="D8" s="86"/>
      <c r="E8" s="86"/>
      <c r="F8" s="86"/>
      <c r="G8" s="86"/>
      <c r="H8" s="81"/>
      <c r="I8" s="81">
        <f t="shared" si="1"/>
        <v>0</v>
      </c>
      <c r="J8" s="86"/>
      <c r="K8" s="80"/>
      <c r="L8" s="86"/>
      <c r="M8" s="87"/>
    </row>
    <row r="9">
      <c r="A9" s="88"/>
      <c r="B9" s="89"/>
      <c r="C9" s="72"/>
      <c r="D9" s="86"/>
      <c r="E9" s="86"/>
      <c r="F9" s="86"/>
      <c r="G9" s="86"/>
      <c r="H9" s="81"/>
      <c r="I9" s="81">
        <f t="shared" si="1"/>
        <v>0</v>
      </c>
      <c r="J9" s="86"/>
      <c r="K9" s="80"/>
      <c r="L9" s="86"/>
      <c r="M9" s="90" t="str">
        <f>HYPERLINK("https://www.youtube.com/watch?v=fd0Ebfa_mJ0","Watch - Approaching Problem Statement ")</f>
        <v>Watch - Approaching Problem Statement </v>
      </c>
    </row>
    <row r="10">
      <c r="A10" s="88"/>
      <c r="B10" s="89"/>
      <c r="C10" s="72"/>
      <c r="D10" s="86"/>
      <c r="E10" s="86"/>
      <c r="F10" s="86"/>
      <c r="G10" s="86"/>
      <c r="H10" s="81"/>
      <c r="I10" s="81">
        <f t="shared" si="1"/>
        <v>0</v>
      </c>
      <c r="J10" s="86"/>
      <c r="K10" s="80"/>
      <c r="L10" s="86"/>
      <c r="M10" s="91" t="str">
        <f>HYPERLINK("https://www.youtube.com/watch?v=olcmPKZNqnM","Watch - Thinking - On papers Not on PC ")</f>
        <v>Watch - Thinking - On papers Not on PC </v>
      </c>
    </row>
    <row r="11">
      <c r="A11" s="92" t="s">
        <v>181</v>
      </c>
      <c r="B11" s="93" t="str">
        <f>HYPERLINK("http://codeforces.com/contest/677/problem/A","CF677-D2-A")</f>
        <v>CF677-D2-A</v>
      </c>
      <c r="C11" s="72"/>
      <c r="D11" s="86"/>
      <c r="E11" s="86"/>
      <c r="F11" s="86"/>
      <c r="G11" s="86"/>
      <c r="H11" s="81"/>
      <c r="I11" s="81">
        <f t="shared" si="1"/>
        <v>0</v>
      </c>
      <c r="J11" s="86"/>
      <c r="K11" s="80"/>
      <c r="L11" s="86"/>
      <c r="M11" s="94" t="str">
        <f>HYPERLINK("http://codeforces.com/contest/677/submission/18185361","C++ Solution Example")</f>
        <v>C++ Solution Example</v>
      </c>
    </row>
    <row r="12">
      <c r="A12" s="92" t="s">
        <v>182</v>
      </c>
      <c r="B12" s="93" t="str">
        <f>HYPERLINK("http://codeforces.com/contest/734/problem/A","CF734-D2-A")</f>
        <v>CF734-D2-A</v>
      </c>
      <c r="C12" s="72"/>
      <c r="D12" s="86"/>
      <c r="E12" s="86"/>
      <c r="F12" s="86"/>
      <c r="G12" s="86"/>
      <c r="H12" s="81"/>
      <c r="I12" s="81">
        <f t="shared" si="1"/>
        <v>0</v>
      </c>
      <c r="J12" s="86"/>
      <c r="K12" s="80"/>
      <c r="L12" s="86"/>
      <c r="M12" s="95" t="str">
        <f>HYPERLINK("http://codeforces.com/blog/entry/48397","This is from Round 379. Here is the editorial")</f>
        <v>This is from Round 379. Here is the editorial</v>
      </c>
    </row>
    <row r="13">
      <c r="A13" s="92"/>
      <c r="B13" s="96"/>
      <c r="C13" s="72"/>
      <c r="D13" s="86"/>
      <c r="E13" s="86"/>
      <c r="F13" s="86"/>
      <c r="G13" s="86"/>
      <c r="H13" s="81"/>
      <c r="I13" s="81">
        <f t="shared" si="1"/>
        <v>0</v>
      </c>
      <c r="J13" s="86"/>
      <c r="K13" s="80"/>
      <c r="L13" s="86"/>
      <c r="M13" s="97" t="s">
        <v>183</v>
      </c>
    </row>
    <row r="14">
      <c r="A14" s="92"/>
      <c r="B14" s="98"/>
      <c r="C14" s="72"/>
      <c r="D14" s="86"/>
      <c r="E14" s="86"/>
      <c r="F14" s="86"/>
      <c r="G14" s="86"/>
      <c r="H14" s="81"/>
      <c r="I14" s="81">
        <f t="shared" si="1"/>
        <v>0</v>
      </c>
      <c r="J14" s="86"/>
      <c r="K14" s="80"/>
      <c r="L14" s="86"/>
      <c r="M14" s="99" t="s">
        <v>184</v>
      </c>
    </row>
    <row r="15">
      <c r="A15" s="92"/>
      <c r="B15" s="98"/>
      <c r="C15" s="72"/>
      <c r="D15" s="86"/>
      <c r="E15" s="86"/>
      <c r="F15" s="86"/>
      <c r="G15" s="86"/>
      <c r="H15" s="81"/>
      <c r="I15" s="81">
        <f t="shared" si="1"/>
        <v>0</v>
      </c>
      <c r="J15" s="86"/>
      <c r="K15" s="80"/>
      <c r="L15" s="86"/>
      <c r="M15" s="99"/>
    </row>
    <row r="16">
      <c r="A16" s="92" t="s">
        <v>185</v>
      </c>
      <c r="B16" s="100" t="str">
        <f>HYPERLINK("codeforces.com/contest/791/problem/A","CF791-D2-A")</f>
        <v>CF791-D2-A</v>
      </c>
      <c r="C16" s="72"/>
      <c r="D16" s="86"/>
      <c r="E16" s="86"/>
      <c r="F16" s="86"/>
      <c r="G16" s="86"/>
      <c r="H16" s="81"/>
      <c r="I16" s="81">
        <f t="shared" si="1"/>
        <v>0</v>
      </c>
      <c r="J16" s="86"/>
      <c r="K16" s="80"/>
      <c r="L16" s="86"/>
      <c r="M16" s="101" t="str">
        <f>HYPERLINK("https://www.youtube.com/watch?v=t05qYeiWGGc","Video Solution - Eng Youssef El Ghareeb")</f>
        <v>Video Solution - Eng Youssef El Ghareeb</v>
      </c>
    </row>
    <row r="17">
      <c r="A17" s="92" t="s">
        <v>186</v>
      </c>
      <c r="B17" s="93" t="str">
        <f>HYPERLINK("http://codeforces.com/contest/231/problem/A","CF231-D2-A")</f>
        <v>CF231-D2-A</v>
      </c>
      <c r="C17" s="72"/>
      <c r="D17" s="86"/>
      <c r="E17" s="86"/>
      <c r="F17" s="86"/>
      <c r="G17" s="86"/>
      <c r="H17" s="81"/>
      <c r="I17" s="81">
        <f t="shared" si="1"/>
        <v>0</v>
      </c>
      <c r="J17" s="86"/>
      <c r="K17" s="80"/>
      <c r="L17" s="86"/>
      <c r="M17" s="101" t="str">
        <f>HYPERLINK("https://www.youtube.com/watch?v=P73Mv_GG_PY","Video Solution - Eng Youssef Ali")</f>
        <v>Video Solution - Eng Youssef Ali</v>
      </c>
    </row>
    <row r="18">
      <c r="A18" s="92" t="s">
        <v>187</v>
      </c>
      <c r="B18" s="93" t="str">
        <f>HYPERLINK("http://codeforces.com/contest/263/problem/A","CF263-D2-A")</f>
        <v>CF263-D2-A</v>
      </c>
      <c r="C18" s="72"/>
      <c r="D18" s="86"/>
      <c r="E18" s="86"/>
      <c r="F18" s="86"/>
      <c r="G18" s="86"/>
      <c r="H18" s="81"/>
      <c r="I18" s="81">
        <f t="shared" si="1"/>
        <v>0</v>
      </c>
      <c r="J18" s="86"/>
      <c r="K18" s="80"/>
      <c r="L18" s="86"/>
      <c r="M18" s="102" t="str">
        <f>HYPERLINK("https://www.youtube.com/watch?v=FU4thrvEvKg","Video Solution - Eng Samed Hajajla")</f>
        <v>Video Solution - Eng Samed Hajajla</v>
      </c>
    </row>
    <row r="19">
      <c r="A19" s="103" t="s">
        <v>188</v>
      </c>
      <c r="B19" s="104" t="str">
        <f>HYPERLINK("http://codeforces.com/contest/405/problem/A","CF405-D2-A")</f>
        <v>CF405-D2-A</v>
      </c>
      <c r="C19" s="72"/>
      <c r="D19" s="86"/>
      <c r="E19" s="86"/>
      <c r="F19" s="86"/>
      <c r="G19" s="86"/>
      <c r="H19" s="81"/>
      <c r="I19" s="81">
        <f t="shared" si="1"/>
        <v>0</v>
      </c>
      <c r="J19" s="47"/>
      <c r="K19" s="80"/>
      <c r="L19" s="47"/>
      <c r="M19" s="105" t="str">
        <f>HYPERLINK("https://www.youtube.com/watch?v=HNe9QW-1MJI","Video Solution - Eng John Gamal")</f>
        <v>Video Solution - Eng John Gamal</v>
      </c>
    </row>
    <row r="20">
      <c r="A20" s="103" t="s">
        <v>189</v>
      </c>
      <c r="B20" s="104" t="str">
        <f>HYPERLINK("http://codeforces.com/contest/112/problem/A","CF112-D2-A")</f>
        <v>CF112-D2-A</v>
      </c>
      <c r="C20" s="72"/>
      <c r="D20" s="86"/>
      <c r="E20" s="86"/>
      <c r="F20" s="86"/>
      <c r="G20" s="86"/>
      <c r="H20" s="81"/>
      <c r="I20" s="81">
        <f t="shared" si="1"/>
        <v>0</v>
      </c>
      <c r="J20" s="47"/>
      <c r="K20" s="80"/>
      <c r="L20" s="47"/>
      <c r="M20" s="106" t="str">
        <f>HYPERLINK("https://www.youtube.com/watch?v=Sp4zWrDvGrk","Video Solution - Solver to be (Java)")</f>
        <v>Video Solution - Solver to be (Java)</v>
      </c>
    </row>
    <row r="21">
      <c r="A21" s="103" t="s">
        <v>190</v>
      </c>
      <c r="B21" s="104" t="str">
        <f>HYPERLINK("http://codeforces.com/contest/236/problem/A","CF236-D2-A")</f>
        <v>CF236-D2-A</v>
      </c>
      <c r="C21" s="72"/>
      <c r="D21" s="86"/>
      <c r="E21" s="86"/>
      <c r="F21" s="86"/>
      <c r="G21" s="86"/>
      <c r="H21" s="81"/>
      <c r="I21" s="81">
        <f t="shared" si="1"/>
        <v>0</v>
      </c>
      <c r="J21" s="47"/>
      <c r="K21" s="80"/>
      <c r="L21" s="47"/>
      <c r="M21" s="106" t="str">
        <f>HYPERLINK("https://www.youtube.com/watch?v=AOOmuJXMyHQ","Video Solution - Solver to be (Java)")</f>
        <v>Video Solution - Solver to be (Java)</v>
      </c>
    </row>
    <row r="22">
      <c r="A22" s="107" t="s">
        <v>191</v>
      </c>
      <c r="B22" s="108" t="str">
        <f>HYPERLINK("http://codeforces.com/contest/59/problem/A","CF59-D2-A")</f>
        <v>CF59-D2-A</v>
      </c>
      <c r="C22" s="72"/>
      <c r="D22" s="86"/>
      <c r="E22" s="86"/>
      <c r="F22" s="86"/>
      <c r="G22" s="86"/>
      <c r="H22" s="81"/>
      <c r="I22" s="81">
        <f t="shared" si="1"/>
        <v>0</v>
      </c>
      <c r="J22" s="47"/>
      <c r="K22" s="80"/>
      <c r="L22" s="47"/>
      <c r="M22" s="106" t="str">
        <f>HYPERLINK("https://www.youtube.com/watch?v=gW8YOQbMdDI","Video Solution - Solver to be (Java)")</f>
        <v>Video Solution - Solver to be (Java)</v>
      </c>
    </row>
    <row r="23">
      <c r="A23" s="103" t="s">
        <v>192</v>
      </c>
      <c r="B23" s="104" t="str">
        <f>HYPERLINK("http://codeforces.com/contest/344/problem/A","CF344-D2-A")</f>
        <v>CF344-D2-A</v>
      </c>
      <c r="C23" s="72"/>
      <c r="D23" s="86"/>
      <c r="E23" s="86"/>
      <c r="F23" s="86"/>
      <c r="G23" s="86"/>
      <c r="H23" s="81"/>
      <c r="I23" s="81">
        <f t="shared" si="1"/>
        <v>0</v>
      </c>
      <c r="J23" s="47"/>
      <c r="K23" s="80"/>
      <c r="L23" s="47"/>
      <c r="M23" s="109" t="str">
        <f>HYPERLINK("https://www.youtube.com/watch?v=7o7lZTKFzp0","Video Solution - Solver to be (Java)")</f>
        <v>Video Solution - Solver to be (Java)</v>
      </c>
    </row>
    <row r="24">
      <c r="A24" s="110" t="s">
        <v>193</v>
      </c>
      <c r="B24" s="111" t="str">
        <f>HYPERLINK("http://codeforces.com/contest/381/problem/A","CF381-D2-A")</f>
        <v>CF381-D2-A</v>
      </c>
      <c r="C24" s="72"/>
      <c r="D24" s="86"/>
      <c r="E24" s="86"/>
      <c r="F24" s="86"/>
      <c r="G24" s="86"/>
      <c r="H24" s="81"/>
      <c r="I24" s="81">
        <f t="shared" si="1"/>
        <v>0</v>
      </c>
      <c r="J24" s="47"/>
      <c r="K24" s="80"/>
      <c r="L24" s="47"/>
      <c r="M24" s="112" t="str">
        <f>HYPERLINK("https://www.youtube.com/watch?v=XgJ0DS3r_KE","Video Solution - Solver to be (Java)")</f>
        <v>Video Solution - Solver to be (Java)</v>
      </c>
    </row>
    <row r="25">
      <c r="A25" s="92" t="s">
        <v>194</v>
      </c>
      <c r="B25" s="93" t="str">
        <f>HYPERLINK("http://codeforces.com/contest/266/problem/A","CF266-D2-A")</f>
        <v>CF266-D2-A</v>
      </c>
      <c r="C25" s="72"/>
      <c r="D25" s="86"/>
      <c r="E25" s="86"/>
      <c r="F25" s="86"/>
      <c r="G25" s="86"/>
      <c r="H25" s="81"/>
      <c r="I25" s="81">
        <f t="shared" si="1"/>
        <v>0</v>
      </c>
      <c r="J25" s="86"/>
      <c r="K25" s="80"/>
      <c r="L25" s="86"/>
      <c r="M25" s="101" t="str">
        <f>HYPERLINK("https://www.youtube.com/watch?v=3akdDnmPwOY&amp;feature=youtu.be","Video Solution - Eng Ahmead Raafat (Python)")</f>
        <v>Video Solution - Eng Ahmead Raafat (Python)</v>
      </c>
    </row>
    <row r="26">
      <c r="A26" s="92" t="s">
        <v>195</v>
      </c>
      <c r="B26" s="93" t="str">
        <f>HYPERLINK("http://codeforces.com/contest/427/problem/A","CF427-D2-A")</f>
        <v>CF427-D2-A</v>
      </c>
      <c r="C26" s="72"/>
      <c r="D26" s="86"/>
      <c r="E26" s="86"/>
      <c r="F26" s="86"/>
      <c r="G26" s="86"/>
      <c r="H26" s="81"/>
      <c r="I26" s="81">
        <f t="shared" si="1"/>
        <v>0</v>
      </c>
      <c r="J26" s="86"/>
      <c r="K26" s="80"/>
      <c r="L26" s="86"/>
      <c r="M26" s="101" t="str">
        <f>HYPERLINK("https://www.youtube.com/watch?v=PECOLs3YWR0&amp;feature=youtu.be","Video Solution - Eng Ahmead Raafat (Python)")</f>
        <v>Video Solution - Eng Ahmead Raafat (Python)</v>
      </c>
    </row>
    <row r="27">
      <c r="A27" s="113" t="s">
        <v>196</v>
      </c>
      <c r="B27" s="93" t="str">
        <f>HYPERLINK("http://codeforces.com/contest/431/problem/A","CF431-D2-A")</f>
        <v>CF431-D2-A</v>
      </c>
      <c r="C27" s="72"/>
      <c r="D27" s="86"/>
      <c r="E27" s="86"/>
      <c r="F27" s="86"/>
      <c r="G27" s="86"/>
      <c r="H27" s="81"/>
      <c r="I27" s="81">
        <f t="shared" si="1"/>
        <v>0</v>
      </c>
      <c r="J27" s="86"/>
      <c r="K27" s="80"/>
      <c r="L27" s="86"/>
      <c r="M27" s="101" t="str">
        <f>HYPERLINK("https://www.youtube.com/watch?v=mJYiMoX4t0k","Video Solution - Eng Ahmead Raafat (Python)")</f>
        <v>Video Solution - Eng Ahmead Raafat (Python)</v>
      </c>
    </row>
    <row r="28">
      <c r="A28" s="113" t="s">
        <v>197</v>
      </c>
      <c r="B28" s="93" t="str">
        <f>HYPERLINK("http://codeforces.com/contest/731/problem/A","CF731-D2-A")</f>
        <v>CF731-D2-A</v>
      </c>
      <c r="C28" s="72"/>
      <c r="D28" s="86"/>
      <c r="E28" s="86"/>
      <c r="F28" s="86"/>
      <c r="G28" s="86"/>
      <c r="H28" s="81"/>
      <c r="I28" s="81">
        <f t="shared" si="1"/>
        <v>0</v>
      </c>
      <c r="J28" s="86"/>
      <c r="K28" s="80"/>
      <c r="L28" s="86"/>
      <c r="M28" s="101" t="str">
        <f>HYPERLINK("https://www.youtube.com/watch?v=pBhXYZKAFTM","Video Solution - Eng Yahia Ashraf")</f>
        <v>Video Solution - Eng Yahia Ashraf</v>
      </c>
    </row>
    <row r="29">
      <c r="A29" s="113" t="s">
        <v>198</v>
      </c>
      <c r="B29" s="93" t="str">
        <f>HYPERLINK("http://codeforces.com/contest/268/problem/A","CF268-D2-A")</f>
        <v>CF268-D2-A</v>
      </c>
      <c r="C29" s="72"/>
      <c r="D29" s="86"/>
      <c r="E29" s="86"/>
      <c r="F29" s="86"/>
      <c r="G29" s="86"/>
      <c r="H29" s="81"/>
      <c r="I29" s="81">
        <f t="shared" si="1"/>
        <v>0</v>
      </c>
      <c r="J29" s="86"/>
      <c r="K29" s="80"/>
      <c r="L29" s="86"/>
      <c r="M29" s="101" t="str">
        <f>HYPERLINK("https://www.youtube.com/watch?v=lFt2GuQtmSs","Video Solution - Eng Yahia Ashraf")</f>
        <v>Video Solution - Eng Yahia Ashraf</v>
      </c>
    </row>
    <row r="30">
      <c r="A30" s="114"/>
      <c r="B30" s="115"/>
      <c r="C30" s="72"/>
      <c r="D30" s="86"/>
      <c r="E30" s="86"/>
      <c r="F30" s="86"/>
      <c r="G30" s="86"/>
      <c r="H30" s="81"/>
      <c r="I30" s="81"/>
      <c r="J30" s="86"/>
      <c r="K30" s="80"/>
      <c r="L30" s="86"/>
      <c r="M30" s="90"/>
    </row>
    <row r="31">
      <c r="A31" s="114"/>
      <c r="B31" s="115"/>
      <c r="C31" s="72"/>
      <c r="D31" s="86"/>
      <c r="E31" s="86"/>
      <c r="F31" s="86"/>
      <c r="G31" s="86"/>
      <c r="H31" s="81"/>
      <c r="I31" s="81">
        <f t="shared" ref="I31:I44" si="2">SUM(E31:H31)</f>
        <v>0</v>
      </c>
      <c r="J31" s="86"/>
      <c r="K31" s="80"/>
      <c r="L31" s="86"/>
      <c r="M31" s="91" t="str">
        <f>HYPERLINK("https://www.youtube.com/watch?v=Syx2qDjj7TE","Watch - Elementary Math - Introduction")</f>
        <v>Watch - Elementary Math - Introduction</v>
      </c>
    </row>
    <row r="32">
      <c r="A32" s="103" t="s">
        <v>199</v>
      </c>
      <c r="B32" s="104" t="str">
        <f>HYPERLINK("http://codeforces.com/contest/732/problem/A","CF732-D2-A")</f>
        <v>CF732-D2-A</v>
      </c>
      <c r="C32" s="116"/>
      <c r="D32" s="117"/>
      <c r="E32" s="117"/>
      <c r="F32" s="117"/>
      <c r="G32" s="117"/>
      <c r="H32" s="116"/>
      <c r="I32" s="81">
        <f t="shared" si="2"/>
        <v>0</v>
      </c>
      <c r="J32" s="117"/>
      <c r="K32" s="116"/>
      <c r="L32" s="117"/>
      <c r="M32" s="105" t="str">
        <f>HYPERLINK("https://www.youtube.com/watch?v=jKOSPuoplz0","Video Solution - Eng Yahia Ashraf")</f>
        <v>Video Solution - Eng Yahia Ashraf</v>
      </c>
    </row>
    <row r="33">
      <c r="A33" s="103" t="s">
        <v>200</v>
      </c>
      <c r="B33" s="104" t="str">
        <f>HYPERLINK("http://codeforces.com/contest/228/problem/A","CF228-D2-A")</f>
        <v>CF228-D2-A</v>
      </c>
      <c r="C33" s="116"/>
      <c r="D33" s="117"/>
      <c r="E33" s="117"/>
      <c r="F33" s="117"/>
      <c r="G33" s="117"/>
      <c r="H33" s="116"/>
      <c r="I33" s="81">
        <f t="shared" si="2"/>
        <v>0</v>
      </c>
      <c r="J33" s="117"/>
      <c r="K33" s="116"/>
      <c r="L33" s="117"/>
      <c r="M33" s="105" t="str">
        <f>HYPERLINK("https://www.youtube.com/watch?v=O0zvnXeQis4&amp;app=desktop#_=_","Video Solution - Eng Ahmead Raafat (Python)")</f>
        <v>Video Solution - Eng Ahmead Raafat (Python)</v>
      </c>
    </row>
    <row r="34">
      <c r="A34" s="103" t="s">
        <v>201</v>
      </c>
      <c r="B34" s="104" t="str">
        <f>HYPERLINK("http://codeforces.com/contest/265/problem/A","CF265-D2-A")</f>
        <v>CF265-D2-A</v>
      </c>
      <c r="C34" s="116"/>
      <c r="D34" s="117"/>
      <c r="E34" s="117"/>
      <c r="F34" s="117"/>
      <c r="G34" s="117"/>
      <c r="H34" s="116"/>
      <c r="I34" s="81">
        <f t="shared" si="2"/>
        <v>0</v>
      </c>
      <c r="J34" s="117"/>
      <c r="K34" s="116"/>
      <c r="L34" s="117"/>
      <c r="M34" s="105" t="str">
        <f>HYPERLINK("https://www.youtube.com/watch?v=ol_mjArjBCk","Video Solution - Eng Ahmead Raafat (Python)")</f>
        <v>Video Solution - Eng Ahmead Raafat (Python)</v>
      </c>
    </row>
    <row r="35">
      <c r="A35" s="118" t="s">
        <v>202</v>
      </c>
      <c r="B35" s="119" t="str">
        <f>HYPERLINK("http://codeforces.com/contest/9/problem/A","CF9-D2-A")</f>
        <v>CF9-D2-A</v>
      </c>
      <c r="C35" s="72"/>
      <c r="D35" s="86"/>
      <c r="E35" s="86"/>
      <c r="F35" s="86"/>
      <c r="G35" s="86"/>
      <c r="H35" s="81"/>
      <c r="I35" s="81">
        <f t="shared" si="2"/>
        <v>0</v>
      </c>
      <c r="J35" s="120"/>
      <c r="K35" s="80"/>
      <c r="L35" s="47"/>
      <c r="M35" s="105" t="str">
        <f>HYPERLINK("https://www.youtube.com/watch?v=5T1yiz9-jZo","Video Solution - Eng Muntaser Abukadeja")</f>
        <v>Video Solution - Eng Muntaser Abukadeja</v>
      </c>
    </row>
    <row r="36">
      <c r="A36" s="121" t="s">
        <v>203</v>
      </c>
      <c r="B36" s="122" t="str">
        <f>HYPERLINK("http://codeforces.com/contest/294/problem/A","CF294-D2-A")</f>
        <v>CF294-D2-A</v>
      </c>
      <c r="C36" s="72"/>
      <c r="D36" s="86"/>
      <c r="E36" s="86"/>
      <c r="F36" s="86"/>
      <c r="G36" s="86"/>
      <c r="H36" s="81"/>
      <c r="I36" s="81">
        <f t="shared" si="2"/>
        <v>0</v>
      </c>
      <c r="J36" s="120"/>
      <c r="K36" s="80"/>
      <c r="L36" s="47"/>
      <c r="M36" s="105" t="str">
        <f>HYPERLINK("https://www.youtube.com/watch?v=GOuclkVCvRI","Video Solution - Dr Mostafa Saad")</f>
        <v>Video Solution - Dr Mostafa Saad</v>
      </c>
    </row>
    <row r="37">
      <c r="A37" s="110" t="s">
        <v>204</v>
      </c>
      <c r="B37" s="111" t="str">
        <f>HYPERLINK("http://codeforces.com/contest/709/problem/A","CF709-D2-A")</f>
        <v>CF709-D2-A</v>
      </c>
      <c r="C37" s="72"/>
      <c r="D37" s="86"/>
      <c r="E37" s="86"/>
      <c r="F37" s="86"/>
      <c r="G37" s="86"/>
      <c r="H37" s="81"/>
      <c r="I37" s="81">
        <f t="shared" si="2"/>
        <v>0</v>
      </c>
      <c r="J37" s="120"/>
      <c r="K37" s="80"/>
      <c r="L37" s="47"/>
      <c r="M37" s="112" t="str">
        <f>HYPERLINK("https://www.youtube.com/watch?v=fPcKGZ_e8G0","Video Solution - Solver to be (Java)")</f>
        <v>Video Solution - Solver to be (Java)</v>
      </c>
    </row>
    <row r="38">
      <c r="A38" s="123" t="s">
        <v>205</v>
      </c>
      <c r="B38" s="124" t="str">
        <f>HYPERLINK("http://codeforces.com/contest/799/problem/A","CF799-D2-A")</f>
        <v>CF799-D2-A</v>
      </c>
      <c r="C38" s="72"/>
      <c r="D38" s="86"/>
      <c r="E38" s="86"/>
      <c r="F38" s="86"/>
      <c r="G38" s="86"/>
      <c r="H38" s="81"/>
      <c r="I38" s="81">
        <f t="shared" si="2"/>
        <v>0</v>
      </c>
      <c r="J38" s="120"/>
      <c r="K38" s="80"/>
      <c r="L38" s="47"/>
      <c r="M38" s="112" t="str">
        <f>HYPERLINK("https://www.youtube.com/watch?v=uyEL9f8pxlM","Video Solution - Solver to be (Java)")</f>
        <v>Video Solution - Solver to be (Java)</v>
      </c>
    </row>
    <row r="39">
      <c r="A39" s="118" t="s">
        <v>206</v>
      </c>
      <c r="B39" s="119" t="str">
        <f>HYPERLINK("http://codeforces.com/contest/443/problem/A","CF443-D2-A")</f>
        <v>CF443-D2-A</v>
      </c>
      <c r="C39" s="72"/>
      <c r="D39" s="86"/>
      <c r="E39" s="86"/>
      <c r="F39" s="86"/>
      <c r="G39" s="86"/>
      <c r="H39" s="81"/>
      <c r="I39" s="81">
        <f t="shared" si="2"/>
        <v>0</v>
      </c>
      <c r="J39" s="120"/>
      <c r="K39" s="80"/>
      <c r="L39" s="47"/>
      <c r="M39" s="109" t="str">
        <f>HYPERLINK("https://www.youtube.com/watch?v=YXuljSnZaTY","Video Solution - Solver to be (Java)")</f>
        <v>Video Solution - Solver to be (Java)</v>
      </c>
    </row>
    <row r="40">
      <c r="A40" s="103" t="s">
        <v>207</v>
      </c>
      <c r="B40" s="104" t="str">
        <f>HYPERLINK("http://codeforces.com/contest/71/problem/A","CF71-D2-A")</f>
        <v>CF71-D2-A</v>
      </c>
      <c r="C40" s="72"/>
      <c r="D40" s="86"/>
      <c r="E40" s="86"/>
      <c r="F40" s="86"/>
      <c r="G40" s="86"/>
      <c r="H40" s="81"/>
      <c r="I40" s="81">
        <f t="shared" si="2"/>
        <v>0</v>
      </c>
      <c r="J40" s="120"/>
      <c r="K40" s="80"/>
      <c r="L40" s="47"/>
      <c r="M40" s="106" t="str">
        <f>HYPERLINK("https://www.youtube.com/watch?v=yuebR81LyXE","Video Solution - Solver to be (Java)")</f>
        <v>Video Solution - Solver to be (Java)</v>
      </c>
    </row>
    <row r="41">
      <c r="A41" s="103" t="s">
        <v>208</v>
      </c>
      <c r="B41" s="104" t="str">
        <f>HYPERLINK("http://codeforces.com/contest/686/problem/A","CF686-D2-A")</f>
        <v>CF686-D2-A</v>
      </c>
      <c r="C41" s="72"/>
      <c r="D41" s="86"/>
      <c r="E41" s="86"/>
      <c r="F41" s="86"/>
      <c r="G41" s="86"/>
      <c r="H41" s="81"/>
      <c r="I41" s="81">
        <f t="shared" si="2"/>
        <v>0</v>
      </c>
      <c r="J41" s="120"/>
      <c r="K41" s="80"/>
      <c r="L41" s="47"/>
      <c r="M41" s="106" t="str">
        <f>HYPERLINK("https://www.youtube.com/watch?v=Alipj6tJKKI","Video Solution - Solver to be (Java)")</f>
        <v>Video Solution - Solver to be (Java)</v>
      </c>
    </row>
    <row r="42">
      <c r="A42" s="107" t="s">
        <v>209</v>
      </c>
      <c r="B42" s="108" t="str">
        <f>HYPERLINK("http://codeforces.com/contest/339/problem/A","CF339-D2-A")</f>
        <v>CF339-D2-A</v>
      </c>
      <c r="C42" s="72"/>
      <c r="D42" s="86"/>
      <c r="E42" s="86"/>
      <c r="F42" s="86"/>
      <c r="G42" s="86"/>
      <c r="H42" s="81"/>
      <c r="I42" s="81">
        <f t="shared" si="2"/>
        <v>0</v>
      </c>
      <c r="J42" s="120"/>
      <c r="K42" s="80"/>
      <c r="L42" s="47"/>
      <c r="M42" s="106" t="str">
        <f>HYPERLINK("https://www.youtube.com/watch?v=NLsyJpkFMz4","Video Solution - Solver to be (Java)")</f>
        <v>Video Solution - Solver to be (Java)</v>
      </c>
    </row>
    <row r="43">
      <c r="A43" s="110" t="s">
        <v>210</v>
      </c>
      <c r="B43" s="111" t="str">
        <f>HYPERLINK("http://codeforces.com/contest/490/problem/A","CF490-D2-A")</f>
        <v>CF490-D2-A</v>
      </c>
      <c r="C43" s="125"/>
      <c r="D43" s="126"/>
      <c r="E43" s="126"/>
      <c r="F43" s="126"/>
      <c r="G43" s="126"/>
      <c r="H43" s="127"/>
      <c r="I43" s="81">
        <f t="shared" si="2"/>
        <v>0</v>
      </c>
      <c r="J43" s="120"/>
      <c r="K43" s="80"/>
      <c r="L43" s="47"/>
      <c r="M43" s="128" t="str">
        <f>HYPERLINK("https://www.youtube.com/watch?v=2jJA1PCOrgg","Video Solution - Eng Muntaser Abukadeja")</f>
        <v>Video Solution - Eng Muntaser Abukadeja</v>
      </c>
    </row>
    <row r="44">
      <c r="A44" s="129" t="s">
        <v>211</v>
      </c>
      <c r="B44" s="130" t="str">
        <f>HYPERLINK("http://codeforces.com/contest/770/problem/A","CF770-D2-A")</f>
        <v>CF770-D2-A</v>
      </c>
      <c r="C44" s="72"/>
      <c r="D44" s="86"/>
      <c r="E44" s="86"/>
      <c r="F44" s="86"/>
      <c r="G44" s="86"/>
      <c r="H44" s="81"/>
      <c r="I44" s="81">
        <f t="shared" si="2"/>
        <v>0</v>
      </c>
      <c r="J44" s="120"/>
      <c r="K44" s="80"/>
      <c r="L44" s="47"/>
      <c r="M44" s="131"/>
    </row>
    <row r="45">
      <c r="A45" s="116"/>
      <c r="B45" s="117"/>
      <c r="C45" s="72"/>
      <c r="D45" s="86"/>
      <c r="E45" s="86"/>
      <c r="F45" s="86"/>
      <c r="G45" s="86"/>
      <c r="H45" s="81"/>
      <c r="I45" s="81"/>
      <c r="J45" s="117"/>
      <c r="K45" s="80"/>
      <c r="L45" s="117"/>
      <c r="M45" s="131"/>
    </row>
    <row r="46">
      <c r="A46" s="116"/>
      <c r="B46" s="117"/>
      <c r="C46" s="72"/>
      <c r="D46" s="86"/>
      <c r="E46" s="86"/>
      <c r="F46" s="86"/>
      <c r="G46" s="86"/>
      <c r="H46" s="81"/>
      <c r="I46" s="81">
        <f t="shared" ref="I46:I47" si="3">SUM(E46:H46)</f>
        <v>0</v>
      </c>
      <c r="J46" s="117"/>
      <c r="K46" s="80"/>
      <c r="L46" s="117"/>
      <c r="M46" s="131" t="str">
        <f>HYPERLINK("https://www.youtube.com/watch?v=9sqvjnvuLtY","Watch - Number Theory - Modular Arithmatic")</f>
        <v>Watch - Number Theory - Modular Arithmatic</v>
      </c>
    </row>
    <row r="47">
      <c r="A47" s="116"/>
      <c r="B47" s="117"/>
      <c r="C47" s="72"/>
      <c r="D47" s="86"/>
      <c r="E47" s="86"/>
      <c r="F47" s="86"/>
      <c r="G47" s="86"/>
      <c r="H47" s="81"/>
      <c r="I47" s="81">
        <f t="shared" si="3"/>
        <v>0</v>
      </c>
      <c r="J47" s="117"/>
      <c r="K47" s="80"/>
      <c r="L47" s="117"/>
      <c r="M47" s="131" t="str">
        <f>HYPERLINK("https://www.youtube.com/watch?v=sr6WgCLcgVM","Watch - Combinatorics - Counting Principles")</f>
        <v>Watch - Combinatorics - Counting Principles</v>
      </c>
    </row>
    <row r="48">
      <c r="A48" s="116"/>
      <c r="B48" s="117"/>
      <c r="C48" s="72"/>
      <c r="D48" s="86"/>
      <c r="E48" s="86"/>
      <c r="F48" s="86"/>
      <c r="G48" s="86"/>
      <c r="H48" s="81"/>
      <c r="I48" s="81"/>
      <c r="J48" s="117"/>
      <c r="K48" s="80"/>
      <c r="L48" s="117"/>
      <c r="M48" s="132" t="s">
        <v>212</v>
      </c>
    </row>
    <row r="49">
      <c r="A49" s="133" t="s">
        <v>213</v>
      </c>
      <c r="B49" s="134" t="str">
        <f>HYPERLINK("https://uva.onlinejudge.org/index.php?option=com_onlinejudge&amp;Itemid=8&amp;page=show_problem&amp;problem=1051","UVA 10110")</f>
        <v>UVA 10110</v>
      </c>
      <c r="C49" s="72"/>
      <c r="D49" s="86"/>
      <c r="E49" s="86"/>
      <c r="F49" s="86"/>
      <c r="G49" s="86"/>
      <c r="H49" s="81"/>
      <c r="I49" s="81">
        <f t="shared" ref="I49:I120" si="4">SUM(E49:H49)</f>
        <v>0</v>
      </c>
      <c r="J49" s="117"/>
      <c r="K49" s="80"/>
      <c r="L49" s="117"/>
      <c r="M49" s="135" t="str">
        <f>HYPERLINK("https://www.youtube.com/watch?v=6unjJwXC5gI&amp;feature=youtu.be","Video Solution - Eng Amr Saud")</f>
        <v>Video Solution - Eng Amr Saud</v>
      </c>
    </row>
    <row r="50">
      <c r="A50" s="133" t="s">
        <v>214</v>
      </c>
      <c r="B50" s="134" t="str">
        <f>HYPERLINK("https://uva.onlinejudge.org/index.php?option=com_onlinejudge&amp;Itemid=8&amp;page=show_problem&amp;problem=1047","UVA 10106")</f>
        <v>UVA 10106</v>
      </c>
      <c r="C50" s="72"/>
      <c r="D50" s="86"/>
      <c r="E50" s="86"/>
      <c r="F50" s="86"/>
      <c r="G50" s="86"/>
      <c r="H50" s="81"/>
      <c r="I50" s="81">
        <f t="shared" si="4"/>
        <v>0</v>
      </c>
      <c r="J50" s="117"/>
      <c r="K50" s="80"/>
      <c r="L50" s="117"/>
      <c r="M50" s="135" t="str">
        <f>HYPERLINK("https://www.youtube.com/watch?v=KNd6eqRpWqE","Video Solution - Eng Youssef El Ghareeb. Don't solve using big integer")</f>
        <v>Video Solution - Eng Youssef El Ghareeb. Don't solve using big integer</v>
      </c>
    </row>
    <row r="51">
      <c r="A51" s="133" t="s">
        <v>215</v>
      </c>
      <c r="B51" s="134" t="str">
        <f>HYPERLINK("https://uva.onlinejudge.org/index.php?option=onlinejudge&amp;page=show_problem&amp;problem=349","UVA 408")</f>
        <v>UVA 408</v>
      </c>
      <c r="C51" s="72"/>
      <c r="D51" s="86"/>
      <c r="E51" s="86"/>
      <c r="F51" s="86"/>
      <c r="G51" s="86"/>
      <c r="H51" s="81"/>
      <c r="I51" s="81">
        <f t="shared" si="4"/>
        <v>0</v>
      </c>
      <c r="J51" s="117"/>
      <c r="K51" s="80"/>
      <c r="L51" s="117"/>
      <c r="M51" s="101" t="str">
        <f>HYPERLINK("https://www.youtube.com/watch?v=VmL4PQIZ-6c","Video Solution - Eng Yahia Ashraf")</f>
        <v>Video Solution - Eng Yahia Ashraf</v>
      </c>
    </row>
    <row r="52">
      <c r="A52" s="133" t="s">
        <v>216</v>
      </c>
      <c r="B52" s="134" t="str">
        <f>HYPERLINK("https://uva.onlinejudge.org/index.php?option=onlinejudge&amp;page=show_problem&amp;problem=2172","UVA 11231")</f>
        <v>UVA 11231</v>
      </c>
      <c r="C52" s="72"/>
      <c r="D52" s="86"/>
      <c r="E52" s="86"/>
      <c r="F52" s="86"/>
      <c r="G52" s="86"/>
      <c r="H52" s="81"/>
      <c r="I52" s="81">
        <f t="shared" si="4"/>
        <v>0</v>
      </c>
      <c r="J52" s="117"/>
      <c r="K52" s="80"/>
      <c r="L52" s="117"/>
      <c r="M52" s="135" t="str">
        <f>HYPERLINK("https://www.youtube.com/watch?v=UNUD8qp33ic&amp;feature=youtu.be","Video Solution - Eng Amr Saud")</f>
        <v>Video Solution - Eng Amr Saud</v>
      </c>
    </row>
    <row r="53">
      <c r="A53" s="133"/>
      <c r="B53" s="136" t="str">
        <f>HYPERLINK("https://www.spoj.com/problems/EASYMATH/","SPOJ EASYMATH")</f>
        <v>SPOJ EASYMATH</v>
      </c>
      <c r="C53" s="72"/>
      <c r="D53" s="86"/>
      <c r="E53" s="86"/>
      <c r="F53" s="86"/>
      <c r="G53" s="86"/>
      <c r="H53" s="81"/>
      <c r="I53" s="81">
        <f t="shared" si="4"/>
        <v>0</v>
      </c>
      <c r="J53" s="117"/>
      <c r="K53" s="80"/>
      <c r="L53" s="117"/>
      <c r="M53" s="137" t="str">
        <f>HYPERLINK("https://github.com/Emsawy/CompetitiveProgramming/blob/master/SPOJ/EASYMATH.cpp","Sol")</f>
        <v>Sol</v>
      </c>
    </row>
    <row r="54">
      <c r="A54" s="138" t="s">
        <v>217</v>
      </c>
      <c r="B54" s="139" t="str">
        <f>HYPERLINK("https://uva.onlinejudge.org/index.php?option=onlinejudge&amp;page=show_problem&amp;problem=3300","UVA 12148")</f>
        <v>UVA 12148</v>
      </c>
      <c r="C54" s="72"/>
      <c r="D54" s="86"/>
      <c r="E54" s="86"/>
      <c r="F54" s="86"/>
      <c r="G54" s="86"/>
      <c r="H54" s="81"/>
      <c r="I54" s="140">
        <f t="shared" si="4"/>
        <v>0</v>
      </c>
      <c r="J54" s="117"/>
      <c r="K54" s="80"/>
      <c r="L54" s="117"/>
      <c r="M54" s="137" t="str">
        <f>HYPERLINK("https://github.com/juanplopes/icpc/blob/master/uva/12148.cpp","Learn Calender Leap Year")</f>
        <v>Learn Calender Leap Year</v>
      </c>
    </row>
    <row r="55">
      <c r="A55" s="129"/>
      <c r="B55" s="130"/>
      <c r="C55" s="72"/>
      <c r="D55" s="86"/>
      <c r="E55" s="86"/>
      <c r="F55" s="86"/>
      <c r="G55" s="86"/>
      <c r="H55" s="81"/>
      <c r="I55" s="81">
        <f t="shared" si="4"/>
        <v>0</v>
      </c>
      <c r="J55" s="47"/>
      <c r="K55" s="80"/>
      <c r="L55" s="47"/>
      <c r="M55" s="141"/>
    </row>
    <row r="56">
      <c r="A56" s="103" t="s">
        <v>218</v>
      </c>
      <c r="B56" s="104" t="str">
        <f>HYPERLINK("http://codeforces.com/contest/136/problem/A","CF136-D2-A")</f>
        <v>CF136-D2-A</v>
      </c>
      <c r="C56" s="116"/>
      <c r="D56" s="117"/>
      <c r="E56" s="117"/>
      <c r="F56" s="117"/>
      <c r="G56" s="117"/>
      <c r="H56" s="127"/>
      <c r="I56" s="81">
        <f t="shared" si="4"/>
        <v>0</v>
      </c>
      <c r="J56" s="47"/>
      <c r="K56" s="80"/>
      <c r="L56" s="47"/>
      <c r="M56" s="142" t="str">
        <f>HYPERLINK("https://www.youtube.com/watch?v=MduaJDmo7RU","Video Solution - Eng Ahmed Rafaat (Python)")</f>
        <v>Video Solution - Eng Ahmed Rafaat (Python)</v>
      </c>
    </row>
    <row r="57">
      <c r="A57" s="110" t="s">
        <v>219</v>
      </c>
      <c r="B57" s="111" t="str">
        <f>HYPERLINK("http://codeforces.com/contest/567/problem/A","CF567-D2-A")</f>
        <v>CF567-D2-A</v>
      </c>
      <c r="C57" s="116"/>
      <c r="D57" s="117"/>
      <c r="E57" s="117"/>
      <c r="F57" s="117"/>
      <c r="G57" s="117"/>
      <c r="H57" s="127"/>
      <c r="I57" s="81">
        <f t="shared" si="4"/>
        <v>0</v>
      </c>
      <c r="J57" s="47"/>
      <c r="K57" s="80"/>
      <c r="L57" s="47"/>
      <c r="M57" s="142" t="str">
        <f>HYPERLINK("https://www.youtube.com/watch?v=gc4BEAw0pbs&amp;feature=youtu.be","Video Solution - Eng Ahmed Rafaat (Python)")</f>
        <v>Video Solution - Eng Ahmed Rafaat (Python)</v>
      </c>
    </row>
    <row r="58">
      <c r="A58" s="129" t="s">
        <v>220</v>
      </c>
      <c r="B58" s="130" t="str">
        <f>HYPERLINK("http://codeforces.com/contest/766/problem/A","CF766-D2-A")</f>
        <v>CF766-D2-A</v>
      </c>
      <c r="C58" s="72"/>
      <c r="D58" s="86"/>
      <c r="E58" s="86"/>
      <c r="F58" s="86"/>
      <c r="G58" s="86"/>
      <c r="H58" s="81"/>
      <c r="I58" s="81">
        <f t="shared" si="4"/>
        <v>0</v>
      </c>
      <c r="J58" s="47"/>
      <c r="K58" s="80"/>
      <c r="L58" s="47"/>
      <c r="M58" s="106" t="str">
        <f>HYPERLINK("https://www.youtube.com/watch?v=nq66DIFAyhs","Video Solution - Solver to be (Java)")</f>
        <v>Video Solution - Solver to be (Java)</v>
      </c>
    </row>
    <row r="59">
      <c r="A59" s="143" t="s">
        <v>221</v>
      </c>
      <c r="B59" s="144" t="str">
        <f>HYPERLINK("http://codeforces.com/problemset/problem/767/A","CF767-D2-A")</f>
        <v>CF767-D2-A</v>
      </c>
      <c r="C59" s="72"/>
      <c r="D59" s="86"/>
      <c r="E59" s="86"/>
      <c r="F59" s="86"/>
      <c r="G59" s="86"/>
      <c r="H59" s="81"/>
      <c r="I59" s="81">
        <f t="shared" si="4"/>
        <v>0</v>
      </c>
      <c r="J59" s="117"/>
      <c r="K59" s="80"/>
      <c r="L59" s="117"/>
      <c r="M59" s="141"/>
    </row>
    <row r="60">
      <c r="A60" s="143" t="s">
        <v>222</v>
      </c>
      <c r="B60" s="144" t="str">
        <f>HYPERLINK("http://codeforces.com/contest/768/problem/A","CF768-D2-A")</f>
        <v>CF768-D2-A</v>
      </c>
      <c r="C60" s="72"/>
      <c r="D60" s="86"/>
      <c r="E60" s="86"/>
      <c r="F60" s="86"/>
      <c r="G60" s="86"/>
      <c r="H60" s="81"/>
      <c r="I60" s="81">
        <f t="shared" si="4"/>
        <v>0</v>
      </c>
      <c r="J60" s="117"/>
      <c r="K60" s="80"/>
      <c r="L60" s="117"/>
      <c r="M60" s="106" t="str">
        <f>HYPERLINK("https://www.youtube.com/watch?v=4vBmYmqOoIk","Video Solution - Solver to be (Java)")</f>
        <v>Video Solution - Solver to be (Java)</v>
      </c>
    </row>
    <row r="61">
      <c r="A61" s="103" t="s">
        <v>223</v>
      </c>
      <c r="B61" s="104" t="str">
        <f>HYPERLINK("http://codeforces.com/contest/520/problem/A","CF520-D2-A")</f>
        <v>CF520-D2-A</v>
      </c>
      <c r="C61" s="72"/>
      <c r="D61" s="86"/>
      <c r="E61" s="86"/>
      <c r="F61" s="86"/>
      <c r="G61" s="86"/>
      <c r="H61" s="81"/>
      <c r="I61" s="81">
        <f t="shared" si="4"/>
        <v>0</v>
      </c>
      <c r="J61" s="117"/>
      <c r="K61" s="80"/>
      <c r="L61" s="117"/>
      <c r="M61" s="128" t="str">
        <f>HYPERLINK("https://www.youtube.com/watch?v=TrHCzh7bPRo","Video Solution - Solver to be (Java)")</f>
        <v>Video Solution - Solver to be (Java)</v>
      </c>
    </row>
    <row r="62">
      <c r="A62" s="110" t="s">
        <v>224</v>
      </c>
      <c r="B62" s="111" t="str">
        <f>HYPERLINK("http://codeforces.com/contest/160/problem/A","CF160-D2-A")</f>
        <v>CF160-D2-A</v>
      </c>
      <c r="C62" s="116"/>
      <c r="D62" s="117"/>
      <c r="E62" s="117"/>
      <c r="F62" s="117"/>
      <c r="G62" s="117"/>
      <c r="H62" s="127"/>
      <c r="I62" s="81">
        <f t="shared" si="4"/>
        <v>0</v>
      </c>
      <c r="J62" s="47"/>
      <c r="K62" s="80"/>
      <c r="L62" s="47"/>
      <c r="M62" s="128" t="str">
        <f>HYPERLINK("https://www.youtube.com/watch?v=V6fh3b50nX8","Video Solution - Solver to be (Java)")</f>
        <v>Video Solution - Solver to be (Java)</v>
      </c>
    </row>
    <row r="63">
      <c r="A63" s="110" t="s">
        <v>225</v>
      </c>
      <c r="B63" s="111" t="str">
        <f>HYPERLINK("http://codeforces.com/contest/474/problem/A","CF474-D2-A")</f>
        <v>CF474-D2-A</v>
      </c>
      <c r="C63" s="116"/>
      <c r="D63" s="117"/>
      <c r="E63" s="117"/>
      <c r="F63" s="117"/>
      <c r="G63" s="117"/>
      <c r="H63" s="116"/>
      <c r="I63" s="81">
        <f t="shared" si="4"/>
        <v>0</v>
      </c>
      <c r="J63" s="47"/>
      <c r="K63" s="116"/>
      <c r="L63" s="47"/>
      <c r="M63" s="128" t="str">
        <f>HYPERLINK("https://www.youtube.com/watch?v=oFIiCpVI3Ck","Video Solution - Solver to be (Java)")</f>
        <v>Video Solution - Solver to be (Java)</v>
      </c>
    </row>
    <row r="64">
      <c r="A64" s="47"/>
      <c r="B64" s="47"/>
      <c r="C64" s="72"/>
      <c r="D64" s="86"/>
      <c r="E64" s="86"/>
      <c r="F64" s="86"/>
      <c r="G64" s="86"/>
      <c r="H64" s="81"/>
      <c r="I64" s="81">
        <f t="shared" si="4"/>
        <v>0</v>
      </c>
      <c r="J64" s="47"/>
      <c r="K64" s="80"/>
      <c r="L64" s="47"/>
      <c r="M64" s="145"/>
    </row>
    <row r="65">
      <c r="A65" s="47"/>
      <c r="B65" s="47"/>
      <c r="C65" s="72"/>
      <c r="D65" s="86"/>
      <c r="E65" s="86"/>
      <c r="F65" s="86"/>
      <c r="G65" s="86"/>
      <c r="H65" s="81"/>
      <c r="I65" s="81">
        <f t="shared" si="4"/>
        <v>0</v>
      </c>
      <c r="J65" s="47"/>
      <c r="K65" s="80"/>
      <c r="L65" s="47"/>
      <c r="M65" s="145" t="str">
        <f>HYPERLINK("https://www.youtube.com/watch?v=jzfcfQVBtKA","Watch - Graph Theory - Intro")</f>
        <v>Watch - Graph Theory - Intro</v>
      </c>
    </row>
    <row r="66">
      <c r="A66" s="47"/>
      <c r="B66" s="47"/>
      <c r="C66" s="72"/>
      <c r="D66" s="86"/>
      <c r="E66" s="86"/>
      <c r="F66" s="86"/>
      <c r="G66" s="86"/>
      <c r="H66" s="81"/>
      <c r="I66" s="81">
        <f t="shared" si="4"/>
        <v>0</v>
      </c>
      <c r="J66" s="47"/>
      <c r="K66" s="80"/>
      <c r="L66" s="47"/>
      <c r="M66" s="145" t="str">
        <f>HYPERLINK("https://www.youtube.com/watch?v=9DP0X2xlPCo","Watch - Graph Theory - DFS")</f>
        <v>Watch - Graph Theory - DFS</v>
      </c>
    </row>
    <row r="67">
      <c r="A67" s="146" t="s">
        <v>226</v>
      </c>
      <c r="B67" s="46" t="str">
        <f>HYPERLINK("https://uva.onlinejudge.org/index.php?option=onlinejudge&amp;page=show_problem&amp;problem=288","UVA 352")</f>
        <v>UVA 352</v>
      </c>
      <c r="C67" s="72"/>
      <c r="D67" s="86"/>
      <c r="E67" s="86"/>
      <c r="F67" s="86"/>
      <c r="G67" s="86"/>
      <c r="H67" s="81"/>
      <c r="I67" s="81">
        <f t="shared" si="4"/>
        <v>0</v>
      </c>
      <c r="J67" s="47"/>
      <c r="K67" s="80"/>
      <c r="L67" s="47"/>
      <c r="M67" s="128" t="str">
        <f>HYPERLINK("https://www.youtube.com/watch?v=-nRiMjHEIUg","Video Solution - Eng Mohamed Nasser")</f>
        <v>Video Solution - Eng Mohamed Nasser</v>
      </c>
    </row>
    <row r="68">
      <c r="A68" s="146" t="s">
        <v>227</v>
      </c>
      <c r="B68" s="46" t="str">
        <f>HYPERLINK("https://uva.onlinejudge.org/index.php?option=onlinejudge&amp;page=show_problem&amp;problem=1393","UVA 10452")</f>
        <v>UVA 10452</v>
      </c>
      <c r="C68" s="72"/>
      <c r="D68" s="86"/>
      <c r="E68" s="86"/>
      <c r="F68" s="86"/>
      <c r="G68" s="86"/>
      <c r="H68" s="81"/>
      <c r="I68" s="81">
        <f t="shared" si="4"/>
        <v>0</v>
      </c>
      <c r="J68" s="47"/>
      <c r="K68" s="80"/>
      <c r="L68" s="47"/>
      <c r="M68" s="128" t="str">
        <f>HYPERLINK("https://www.youtube.com/watch?v=HtaczlDLylk","Video Solution - Eng Ayman Salah")</f>
        <v>Video Solution - Eng Ayman Salah</v>
      </c>
    </row>
    <row r="69">
      <c r="A69" s="146" t="s">
        <v>228</v>
      </c>
      <c r="B69" s="46" t="str">
        <f>HYPERLINK("https://uva.onlinejudge.org/index.php?option=com_onlinejudge&amp;Itemid=8&amp;page=show_problem&amp;problem=3104","UVA 11953")</f>
        <v>UVA 11953</v>
      </c>
      <c r="C69" s="72"/>
      <c r="D69" s="86"/>
      <c r="E69" s="86"/>
      <c r="F69" s="86"/>
      <c r="G69" s="86"/>
      <c r="H69" s="81"/>
      <c r="I69" s="81">
        <f t="shared" si="4"/>
        <v>0</v>
      </c>
      <c r="J69" s="47"/>
      <c r="K69" s="80"/>
      <c r="L69" s="47"/>
      <c r="M69" s="128" t="str">
        <f>HYPERLINK("https://www.youtube.com/watch?v=nvPucDrmErI","Video Solution - Eng Aya Elymany")</f>
        <v>Video Solution - Eng Aya Elymany</v>
      </c>
    </row>
    <row r="70">
      <c r="A70" s="47"/>
      <c r="B70" s="47"/>
      <c r="C70" s="72"/>
      <c r="D70" s="86"/>
      <c r="E70" s="86"/>
      <c r="F70" s="86"/>
      <c r="G70" s="86"/>
      <c r="H70" s="81"/>
      <c r="I70" s="81">
        <f t="shared" si="4"/>
        <v>0</v>
      </c>
      <c r="J70" s="47"/>
      <c r="K70" s="80"/>
      <c r="L70" s="47"/>
      <c r="M70" s="147" t="str">
        <f>HYPERLINK("https://en.wikipedia.org/wiki/Bipartite_graph","Read definition of: Bipartite graph")</f>
        <v>Read definition of: Bipartite graph</v>
      </c>
    </row>
    <row r="71">
      <c r="A71" s="146" t="s">
        <v>229</v>
      </c>
      <c r="B71" s="46" t="str">
        <f>HYPERLINK("http://codeforces.com/contest/216/problem/B","CF216-D2-B")</f>
        <v>CF216-D2-B</v>
      </c>
      <c r="C71" s="72"/>
      <c r="D71" s="86"/>
      <c r="E71" s="86"/>
      <c r="F71" s="86"/>
      <c r="G71" s="86"/>
      <c r="H71" s="81"/>
      <c r="I71" s="81">
        <f t="shared" si="4"/>
        <v>0</v>
      </c>
      <c r="J71" s="47"/>
      <c r="K71" s="80"/>
      <c r="L71" s="47"/>
      <c r="M71" s="128" t="str">
        <f>HYPERLINK("https://www.youtube.com/watch?v=O4rahDYs9-c","Video Solution - Dr Mostafa Saad")</f>
        <v>Video Solution - Dr Mostafa Saad</v>
      </c>
    </row>
    <row r="72">
      <c r="A72" s="148" t="s">
        <v>230</v>
      </c>
      <c r="B72" s="149" t="str">
        <f>HYPERLINK("http://www.spoj.com/problems/MAKETREE/","SPOJ MAKETREE")</f>
        <v>SPOJ MAKETREE</v>
      </c>
      <c r="C72" s="72"/>
      <c r="D72" s="86"/>
      <c r="E72" s="86"/>
      <c r="F72" s="86"/>
      <c r="G72" s="86"/>
      <c r="H72" s="81"/>
      <c r="I72" s="81">
        <f t="shared" si="4"/>
        <v>0</v>
      </c>
      <c r="J72" s="47"/>
      <c r="K72" s="80"/>
      <c r="L72" s="47"/>
      <c r="M72" s="101" t="str">
        <f>HYPERLINK("https://www.youtube.com/watch?v=Rmi_2e6gt5M","Video Solution - Eng Yahia Ashraf")</f>
        <v>Video Solution - Eng Yahia Ashraf</v>
      </c>
    </row>
    <row r="73">
      <c r="A73" s="148" t="s">
        <v>231</v>
      </c>
      <c r="B73" s="149" t="str">
        <f>HYPERLINK("https://uva.onlinejudge.org/index.php?option=onlinejudge&amp;page=show_problem&amp;problem=1246","UVA 10305")</f>
        <v>UVA 10305</v>
      </c>
      <c r="C73" s="72"/>
      <c r="D73" s="86"/>
      <c r="E73" s="86"/>
      <c r="F73" s="86"/>
      <c r="G73" s="86"/>
      <c r="H73" s="81"/>
      <c r="I73" s="81">
        <f t="shared" si="4"/>
        <v>0</v>
      </c>
      <c r="J73" s="47"/>
      <c r="K73" s="80"/>
      <c r="L73" s="47"/>
      <c r="M73" s="101" t="str">
        <f>HYPERLINK("https://www.youtube.com/watch?v=4t-4ZC8BRj8","Video Solution - Eng Yahia Ashraf")</f>
        <v>Video Solution - Eng Yahia Ashraf</v>
      </c>
    </row>
    <row r="74">
      <c r="A74" s="150"/>
      <c r="B74" s="104"/>
      <c r="C74" s="72"/>
      <c r="D74" s="86"/>
      <c r="E74" s="86"/>
      <c r="F74" s="86"/>
      <c r="G74" s="86"/>
      <c r="H74" s="81"/>
      <c r="I74" s="81">
        <f t="shared" si="4"/>
        <v>0</v>
      </c>
      <c r="J74" s="117"/>
      <c r="K74" s="80"/>
      <c r="L74" s="117"/>
      <c r="M74" s="116"/>
    </row>
    <row r="75">
      <c r="A75" s="110" t="s">
        <v>232</v>
      </c>
      <c r="B75" s="111" t="str">
        <f>HYPERLINK("http://codeforces.com/contest/318/problem/A","CF318-D2-A")</f>
        <v>CF318-D2-A</v>
      </c>
      <c r="C75" s="72"/>
      <c r="D75" s="86"/>
      <c r="E75" s="86"/>
      <c r="F75" s="86"/>
      <c r="G75" s="86"/>
      <c r="H75" s="81"/>
      <c r="I75" s="81">
        <f t="shared" si="4"/>
        <v>0</v>
      </c>
      <c r="J75" s="117"/>
      <c r="K75" s="80"/>
      <c r="L75" s="117"/>
      <c r="M75" s="135" t="str">
        <f>HYPERLINK("https://www.youtube.com/watch?v=w7gZx99Efzs&amp;feature=youtu.be","Video Solution - Eng Muntaser Abukadeja")</f>
        <v>Video Solution - Eng Muntaser Abukadeja</v>
      </c>
    </row>
    <row r="76">
      <c r="A76" s="110" t="s">
        <v>233</v>
      </c>
      <c r="B76" s="111" t="str">
        <f>HYPERLINK("http://codeforces.com/contest/469/problem/A","CF469-D2-A")</f>
        <v>CF469-D2-A</v>
      </c>
      <c r="C76" s="116"/>
      <c r="D76" s="117"/>
      <c r="E76" s="117"/>
      <c r="F76" s="117"/>
      <c r="G76" s="117"/>
      <c r="H76" s="127"/>
      <c r="I76" s="81">
        <f t="shared" si="4"/>
        <v>0</v>
      </c>
      <c r="J76" s="47"/>
      <c r="K76" s="80"/>
      <c r="L76" s="47"/>
      <c r="M76" s="128" t="str">
        <f>HYPERLINK("https://www.youtube.com/watch?v=MVHuUdj_CWo","Video Solution - Solver to be (Java)")</f>
        <v>Video Solution - Solver to be (Java)</v>
      </c>
    </row>
    <row r="77">
      <c r="A77" s="143" t="s">
        <v>234</v>
      </c>
      <c r="B77" s="144" t="str">
        <f>HYPERLINK("http://codeforces.com/contest/807/problem/A","CF807-D2-A")</f>
        <v>CF807-D2-A</v>
      </c>
      <c r="C77" s="72"/>
      <c r="D77" s="86"/>
      <c r="E77" s="86"/>
      <c r="F77" s="86"/>
      <c r="G77" s="86"/>
      <c r="H77" s="81"/>
      <c r="I77" s="81">
        <f t="shared" si="4"/>
        <v>0</v>
      </c>
      <c r="J77" s="47"/>
      <c r="K77" s="80"/>
      <c r="L77" s="47"/>
      <c r="M77" s="106" t="str">
        <f>HYPERLINK("https://www.youtube.com/watch?v=PU-Lg0gs6kY","Video Solution - Solver to be (Java)")</f>
        <v>Video Solution - Solver to be (Java)</v>
      </c>
    </row>
    <row r="78">
      <c r="A78" s="103" t="s">
        <v>235</v>
      </c>
      <c r="B78" s="104" t="str">
        <f>HYPERLINK("http://codeforces.com/contest/584/problem/A","CF584-D2-A")</f>
        <v>CF584-D2-A</v>
      </c>
      <c r="C78" s="72"/>
      <c r="D78" s="86"/>
      <c r="E78" s="86"/>
      <c r="F78" s="86"/>
      <c r="G78" s="86"/>
      <c r="H78" s="81"/>
      <c r="I78" s="81">
        <f t="shared" si="4"/>
        <v>0</v>
      </c>
      <c r="J78" s="47"/>
      <c r="K78" s="80"/>
      <c r="L78" s="47"/>
      <c r="M78" s="106" t="str">
        <f>HYPERLINK("https://www.youtube.com/watch?v=U3bX6kIGDG8","Video Solution - Solver to be (Java)")</f>
        <v>Video Solution - Solver to be (Java)</v>
      </c>
    </row>
    <row r="79">
      <c r="A79" s="107" t="s">
        <v>236</v>
      </c>
      <c r="B79" s="108" t="str">
        <f>HYPERLINK("http://codeforces.com/contest/43/problem/A","CF43-D2-A")</f>
        <v>CF43-D2-A</v>
      </c>
      <c r="C79" s="72"/>
      <c r="D79" s="86"/>
      <c r="E79" s="86"/>
      <c r="F79" s="86"/>
      <c r="G79" s="86"/>
      <c r="H79" s="81"/>
      <c r="I79" s="81">
        <f t="shared" si="4"/>
        <v>0</v>
      </c>
      <c r="J79" s="47"/>
      <c r="K79" s="80"/>
      <c r="L79" s="47"/>
      <c r="M79" s="106" t="str">
        <f>HYPERLINK("https://www.youtube.com/watch?v=fUOco0Vz584&amp;feature=youtu.be","Video Solution - Eng Belal Abdulnasser (Python)")</f>
        <v>Video Solution - Eng Belal Abdulnasser (Python)</v>
      </c>
    </row>
    <row r="80">
      <c r="A80" s="107" t="s">
        <v>237</v>
      </c>
      <c r="B80" s="108" t="str">
        <f>HYPERLINK("http://codeforces.com/contest/707/problem/A","CF707-D2-A")</f>
        <v>CF707-D2-A</v>
      </c>
      <c r="C80" s="72"/>
      <c r="D80" s="86"/>
      <c r="E80" s="86"/>
      <c r="F80" s="86"/>
      <c r="G80" s="86"/>
      <c r="H80" s="81"/>
      <c r="I80" s="81">
        <f t="shared" si="4"/>
        <v>0</v>
      </c>
      <c r="J80" s="47"/>
      <c r="K80" s="80"/>
      <c r="L80" s="47"/>
      <c r="M80" s="106" t="str">
        <f>HYPERLINK("https://www.youtube.com/watch?v=cCraOn4wjAs","Video Solution - Solver to be (Java)")</f>
        <v>Video Solution - Solver to be (Java)</v>
      </c>
    </row>
    <row r="81">
      <c r="A81" s="107" t="s">
        <v>238</v>
      </c>
      <c r="B81" s="108" t="str">
        <f>HYPERLINK("http://codeforces.com/contest/208/problem/A","CF208-D2-A")</f>
        <v>CF208-D2-A</v>
      </c>
      <c r="C81" s="72"/>
      <c r="D81" s="86"/>
      <c r="E81" s="86"/>
      <c r="F81" s="86"/>
      <c r="G81" s="86"/>
      <c r="H81" s="81"/>
      <c r="I81" s="81">
        <f t="shared" si="4"/>
        <v>0</v>
      </c>
      <c r="J81" s="47"/>
      <c r="K81" s="80"/>
      <c r="L81" s="47"/>
      <c r="M81" s="106" t="str">
        <f>HYPERLINK("https://www.youtube.com/watch?v=M4umpd8utSA","Video Solution - Solver to be (Java)")</f>
        <v>Video Solution - Solver to be (Java)</v>
      </c>
    </row>
    <row r="82">
      <c r="A82" s="151" t="s">
        <v>239</v>
      </c>
      <c r="B82" s="111" t="str">
        <f>HYPERLINK("http://codeforces.com/contest/404/problem/A","CF404-D2-A")</f>
        <v>CF404-D2-A</v>
      </c>
      <c r="C82" s="116"/>
      <c r="D82" s="117"/>
      <c r="E82" s="117"/>
      <c r="F82" s="117"/>
      <c r="G82" s="117"/>
      <c r="H82" s="116"/>
      <c r="I82" s="81">
        <f t="shared" si="4"/>
        <v>0</v>
      </c>
      <c r="J82" s="47"/>
      <c r="K82" s="116"/>
      <c r="L82" s="47"/>
      <c r="M82" s="152" t="str">
        <f>HYPERLINK("https://www.youtube.com/watch?v=vLEXMm860gQ","Video Solution - Solver to be (Java)")</f>
        <v>Video Solution - Solver to be (Java)</v>
      </c>
    </row>
    <row r="83">
      <c r="A83" s="151" t="s">
        <v>240</v>
      </c>
      <c r="B83" s="111" t="str">
        <f>HYPERLINK("http://codeforces.com/contest/742/problem/A","CF742-D2-A")</f>
        <v>CF742-D2-A</v>
      </c>
      <c r="C83" s="116"/>
      <c r="D83" s="117"/>
      <c r="E83" s="117"/>
      <c r="F83" s="117"/>
      <c r="G83" s="117"/>
      <c r="H83" s="116"/>
      <c r="I83" s="81">
        <f t="shared" si="4"/>
        <v>0</v>
      </c>
      <c r="J83" s="47"/>
      <c r="K83" s="116"/>
      <c r="L83" s="47"/>
      <c r="M83" s="152" t="str">
        <f>HYPERLINK("https://www.youtube.com/watch?v=kdJGLjKy54o","Video Solution - Solver to be (Java)")</f>
        <v>Video Solution - Solver to be (Java)</v>
      </c>
    </row>
    <row r="84">
      <c r="A84" s="151" t="s">
        <v>241</v>
      </c>
      <c r="B84" s="111" t="str">
        <f>HYPERLINK("http://codeforces.com/contest/486/problem/A","CF486-D2-A")</f>
        <v>CF486-D2-A</v>
      </c>
      <c r="C84" s="116"/>
      <c r="D84" s="117"/>
      <c r="E84" s="117"/>
      <c r="F84" s="117"/>
      <c r="G84" s="117"/>
      <c r="H84" s="116"/>
      <c r="I84" s="81">
        <f t="shared" si="4"/>
        <v>0</v>
      </c>
      <c r="J84" s="47"/>
      <c r="K84" s="116"/>
      <c r="L84" s="47"/>
      <c r="M84" s="152" t="str">
        <f>HYPERLINK("https://www.youtube.com/watch?v=IByiomshI2o","Video Solution - Solver to be (Java)")</f>
        <v>Video Solution - Solver to be (Java)</v>
      </c>
    </row>
    <row r="85">
      <c r="A85" s="151" t="s">
        <v>242</v>
      </c>
      <c r="B85" s="111" t="str">
        <f>HYPERLINK("http://codeforces.com/contest/1/problem/A","CF1-D12-A")</f>
        <v>CF1-D12-A</v>
      </c>
      <c r="C85" s="116"/>
      <c r="D85" s="117"/>
      <c r="E85" s="117"/>
      <c r="F85" s="117"/>
      <c r="G85" s="117"/>
      <c r="H85" s="116"/>
      <c r="I85" s="81">
        <f t="shared" si="4"/>
        <v>0</v>
      </c>
      <c r="J85" s="47"/>
      <c r="K85" s="116"/>
      <c r="L85" s="47"/>
      <c r="M85" s="152" t="str">
        <f>HYPERLINK("https://www.youtube.com/watch?v=C5qZwZYPMJY","Video Solution - Solver to be (Java)")</f>
        <v>Video Solution - Solver to be (Java)</v>
      </c>
    </row>
    <row r="86">
      <c r="A86" s="151" t="s">
        <v>243</v>
      </c>
      <c r="B86" s="111" t="str">
        <f>HYPERLINK("http://codeforces.com/contest/785/problem/A","CF785-D2-A")</f>
        <v>CF785-D2-A</v>
      </c>
      <c r="C86" s="116"/>
      <c r="D86" s="117"/>
      <c r="E86" s="117"/>
      <c r="F86" s="117"/>
      <c r="G86" s="117"/>
      <c r="H86" s="116"/>
      <c r="I86" s="81">
        <f t="shared" si="4"/>
        <v>0</v>
      </c>
      <c r="J86" s="47"/>
      <c r="K86" s="116"/>
      <c r="L86" s="47"/>
      <c r="M86" s="152" t="str">
        <f>HYPERLINK("https://www.youtube.com/watch?v=PgEnG308Hf4","Video Solution - Solver to be (Java)")</f>
        <v>Video Solution - Solver to be (Java)</v>
      </c>
    </row>
    <row r="87">
      <c r="A87" s="151" t="s">
        <v>244</v>
      </c>
      <c r="B87" s="111" t="str">
        <f>HYPERLINK("http://codeforces.com/contest/80/problem/A","CF80-D2-A")</f>
        <v>CF80-D2-A</v>
      </c>
      <c r="C87" s="116"/>
      <c r="D87" s="117"/>
      <c r="E87" s="117"/>
      <c r="F87" s="117"/>
      <c r="G87" s="117"/>
      <c r="H87" s="116"/>
      <c r="I87" s="81">
        <f t="shared" si="4"/>
        <v>0</v>
      </c>
      <c r="J87" s="47"/>
      <c r="K87" s="116"/>
      <c r="L87" s="47"/>
      <c r="M87" s="152" t="str">
        <f>HYPERLINK("https://www.youtube.com/watch?v=eBT7tgXcd2I","Video Solution - Solver to be (Java)")</f>
        <v>Video Solution - Solver to be (Java)</v>
      </c>
    </row>
    <row r="88">
      <c r="A88" s="150" t="s">
        <v>245</v>
      </c>
      <c r="B88" s="104" t="str">
        <f>HYPERLINK("http://codeforces.com/contest/483/problem/A","CF483-D2-A")</f>
        <v>CF483-D2-A</v>
      </c>
      <c r="C88" s="116"/>
      <c r="D88" s="117"/>
      <c r="E88" s="117"/>
      <c r="F88" s="117"/>
      <c r="G88" s="117"/>
      <c r="H88" s="116"/>
      <c r="I88" s="81">
        <f t="shared" si="4"/>
        <v>0</v>
      </c>
      <c r="J88" s="117"/>
      <c r="K88" s="116"/>
      <c r="L88" s="117"/>
      <c r="M88" s="152" t="str">
        <f>HYPERLINK("https://www.youtube.com/watch?v=hWzHWVd9jI8","Video Solution - Solver to be (Java)")</f>
        <v>Video Solution - Solver to be (Java)</v>
      </c>
    </row>
    <row r="89">
      <c r="A89" s="153"/>
      <c r="B89" s="154"/>
      <c r="C89" s="72"/>
      <c r="D89" s="86"/>
      <c r="E89" s="86"/>
      <c r="F89" s="86"/>
      <c r="G89" s="86"/>
      <c r="H89" s="81"/>
      <c r="I89" s="81">
        <f t="shared" si="4"/>
        <v>0</v>
      </c>
      <c r="J89" s="86"/>
      <c r="K89" s="80"/>
      <c r="L89" s="86"/>
      <c r="M89" s="91"/>
    </row>
    <row r="90">
      <c r="A90" s="117"/>
      <c r="B90" s="117"/>
      <c r="C90" s="116"/>
      <c r="D90" s="117"/>
      <c r="E90" s="117"/>
      <c r="F90" s="117"/>
      <c r="G90" s="117"/>
      <c r="H90" s="116"/>
      <c r="I90" s="81">
        <f t="shared" si="4"/>
        <v>0</v>
      </c>
      <c r="J90" s="117"/>
      <c r="K90" s="116"/>
      <c r="L90" s="117"/>
      <c r="M90" s="155" t="str">
        <f>HYPERLINK("https://www.youtube.com/watch?v=EQzmtn4PzYQ","Watch - Measuring Algorithms Perfromance - 1")</f>
        <v>Watch - Measuring Algorithms Perfromance - 1</v>
      </c>
    </row>
    <row r="91">
      <c r="A91" s="153"/>
      <c r="B91" s="154"/>
      <c r="C91" s="72"/>
      <c r="D91" s="86"/>
      <c r="E91" s="86"/>
      <c r="F91" s="86"/>
      <c r="G91" s="86"/>
      <c r="H91" s="81"/>
      <c r="I91" s="81">
        <f t="shared" si="4"/>
        <v>0</v>
      </c>
      <c r="J91" s="86"/>
      <c r="K91" s="80"/>
      <c r="L91" s="86"/>
      <c r="M91" s="91" t="str">
        <f>HYPERLINK("https://www.youtube.com/watch?v=XhVmgLXYvuQ","Watch - Computational Geometry - Intro")</f>
        <v>Watch - Computational Geometry - Intro</v>
      </c>
    </row>
    <row r="92">
      <c r="A92" s="156"/>
      <c r="B92" s="157"/>
      <c r="C92" s="72"/>
      <c r="D92" s="86"/>
      <c r="E92" s="86"/>
      <c r="F92" s="86"/>
      <c r="G92" s="86"/>
      <c r="H92" s="81"/>
      <c r="I92" s="81">
        <f t="shared" si="4"/>
        <v>0</v>
      </c>
      <c r="J92" s="86"/>
      <c r="K92" s="80"/>
      <c r="L92" s="86"/>
      <c r="M92" s="91" t="str">
        <f>HYPERLINK("https://www.youtube.com/watch?v=2CUN12WrNr4","Watch - Computational Geometry - Point and Vector")</f>
        <v>Watch - Computational Geometry - Point and Vector</v>
      </c>
    </row>
    <row r="93">
      <c r="A93" s="158" t="s">
        <v>246</v>
      </c>
      <c r="B93" s="159" t="str">
        <f>HYPERLINK("http://codeforces.com/contest/127/problem/A","CF127-D2-A")</f>
        <v>CF127-D2-A</v>
      </c>
      <c r="C93" s="72"/>
      <c r="D93" s="86"/>
      <c r="E93" s="86"/>
      <c r="F93" s="86"/>
      <c r="G93" s="86"/>
      <c r="H93" s="81"/>
      <c r="I93" s="81">
        <f t="shared" si="4"/>
        <v>0</v>
      </c>
      <c r="J93" s="47"/>
      <c r="K93" s="80"/>
      <c r="L93" s="47"/>
      <c r="M93" s="47"/>
    </row>
    <row r="94">
      <c r="A94" s="158" t="s">
        <v>247</v>
      </c>
      <c r="B94" s="159" t="str">
        <f>HYPERLINK("https://uva.onlinejudge.org/index.php?option=onlinejudge&amp;page=show_problem&amp;problem=417","UVA 476")</f>
        <v>UVA 476</v>
      </c>
      <c r="C94" s="72"/>
      <c r="D94" s="86"/>
      <c r="E94" s="86"/>
      <c r="F94" s="86"/>
      <c r="G94" s="86"/>
      <c r="H94" s="81"/>
      <c r="I94" s="81">
        <f t="shared" si="4"/>
        <v>0</v>
      </c>
      <c r="J94" s="160"/>
      <c r="K94" s="80"/>
      <c r="L94" s="160"/>
      <c r="M94" s="156"/>
    </row>
    <row r="95">
      <c r="A95" s="158" t="s">
        <v>248</v>
      </c>
      <c r="B95" s="159" t="str">
        <f>HYPERLINK("https://uva.onlinejudge.org/index.php?option=onlinejudge&amp;page=show_problem&amp;problem=401","UVA 460")</f>
        <v>UVA 460</v>
      </c>
      <c r="C95" s="72"/>
      <c r="D95" s="86"/>
      <c r="E95" s="86"/>
      <c r="F95" s="86"/>
      <c r="G95" s="86"/>
      <c r="H95" s="81"/>
      <c r="I95" s="81">
        <f t="shared" si="4"/>
        <v>0</v>
      </c>
      <c r="J95" s="160"/>
      <c r="K95" s="80"/>
      <c r="L95" s="160"/>
      <c r="M95" s="161" t="str">
        <f>HYPERLINK("https://www.youtube.com/watch?v=NOZxcOu25Iw","Video Solution - Eng Muntaser Abukadeja")</f>
        <v>Video Solution - Eng Muntaser Abukadeja</v>
      </c>
    </row>
    <row r="96">
      <c r="A96" s="158" t="s">
        <v>249</v>
      </c>
      <c r="B96" s="159" t="str">
        <f>HYPERLINK("http://codeforces.com/contest/270/problem/A","CF270-D2-A")</f>
        <v>CF270-D2-A</v>
      </c>
      <c r="C96" s="72"/>
      <c r="D96" s="86"/>
      <c r="E96" s="86"/>
      <c r="F96" s="86"/>
      <c r="G96" s="86"/>
      <c r="H96" s="81"/>
      <c r="I96" s="81">
        <f t="shared" si="4"/>
        <v>0</v>
      </c>
      <c r="J96" s="47"/>
      <c r="K96" s="80"/>
      <c r="L96" s="47"/>
      <c r="M96" s="162" t="str">
        <f>HYPERLINK("https://www.youtube.com/watch?v=ShgpJWttyxw","Video Solution - Eng Omar Ashraf")</f>
        <v>Video Solution - Eng Omar Ashraf</v>
      </c>
    </row>
    <row r="97">
      <c r="A97" s="158" t="s">
        <v>250</v>
      </c>
      <c r="B97" s="159" t="str">
        <f>HYPERLINK("http://codeforces.com/contest/667/problem/A","CF667-D2-A")</f>
        <v>CF667-D2-A</v>
      </c>
      <c r="C97" s="72"/>
      <c r="D97" s="86"/>
      <c r="E97" s="86"/>
      <c r="F97" s="86"/>
      <c r="G97" s="86"/>
      <c r="H97" s="81"/>
      <c r="I97" s="81">
        <f t="shared" si="4"/>
        <v>0</v>
      </c>
      <c r="J97" s="47"/>
      <c r="K97" s="80"/>
      <c r="L97" s="47"/>
      <c r="M97" s="47"/>
    </row>
    <row r="98">
      <c r="A98" s="158" t="s">
        <v>251</v>
      </c>
      <c r="B98" s="159" t="str">
        <f>HYPERLINK("https://uva.onlinejudge.org/index.php?option=onlinejudge&amp;page=show_problem&amp;problem=1183","UVA 10242")</f>
        <v>UVA 10242</v>
      </c>
      <c r="C98" s="72"/>
      <c r="D98" s="86"/>
      <c r="E98" s="86"/>
      <c r="F98" s="86"/>
      <c r="G98" s="86"/>
      <c r="H98" s="81"/>
      <c r="I98" s="81">
        <f t="shared" si="4"/>
        <v>0</v>
      </c>
      <c r="J98" s="160"/>
      <c r="K98" s="80"/>
      <c r="L98" s="160"/>
      <c r="M98" s="161" t="str">
        <f>HYPERLINK("https://www.youtube.com/watch?v=QkYkuhUHMQA&amp;feature=youtu.be","Video Solution - Eng Magdy Hasan")</f>
        <v>Video Solution - Eng Magdy Hasan</v>
      </c>
    </row>
    <row r="99">
      <c r="A99" s="156"/>
      <c r="B99" s="157"/>
      <c r="C99" s="72"/>
      <c r="D99" s="86"/>
      <c r="E99" s="86"/>
      <c r="F99" s="86"/>
      <c r="G99" s="86"/>
      <c r="H99" s="81"/>
      <c r="I99" s="81">
        <f t="shared" si="4"/>
        <v>0</v>
      </c>
      <c r="J99" s="160"/>
      <c r="K99" s="80"/>
      <c r="L99" s="160"/>
      <c r="M99" s="156"/>
    </row>
    <row r="100">
      <c r="A100" s="113" t="s">
        <v>252</v>
      </c>
      <c r="B100" s="93" t="str">
        <f>HYPERLINK("http://codeforces.com/contest/365/problem/A","CF365-D2-A")</f>
        <v>CF365-D2-A</v>
      </c>
      <c r="C100" s="72"/>
      <c r="D100" s="86"/>
      <c r="E100" s="86"/>
      <c r="F100" s="86"/>
      <c r="G100" s="86"/>
      <c r="H100" s="81"/>
      <c r="I100" s="81">
        <f t="shared" si="4"/>
        <v>0</v>
      </c>
      <c r="J100" s="160"/>
      <c r="K100" s="80"/>
      <c r="L100" s="160"/>
      <c r="M100" s="161" t="str">
        <f>HYPERLINK("https://www.youtube.com/watch?v=W5SLLnni1KM&amp;feature=youtu.be","Video Solution - Eng Muntaser Abukadeja")</f>
        <v>Video Solution - Eng Muntaser Abukadeja</v>
      </c>
    </row>
    <row r="101">
      <c r="A101" s="113" t="s">
        <v>253</v>
      </c>
      <c r="B101" s="93" t="str">
        <f>HYPERLINK("http://codeforces.com/contest/225/problem/A","CF225-D2-A")</f>
        <v>CF225-D2-A</v>
      </c>
      <c r="C101" s="72"/>
      <c r="D101" s="86"/>
      <c r="E101" s="86"/>
      <c r="F101" s="86"/>
      <c r="G101" s="86"/>
      <c r="H101" s="81"/>
      <c r="I101" s="81">
        <f t="shared" si="4"/>
        <v>0</v>
      </c>
      <c r="J101" s="160"/>
      <c r="K101" s="80"/>
      <c r="L101" s="160"/>
      <c r="M101" s="161" t="str">
        <f>HYPERLINK("https://www.youtube.com/watch?v=AU4cdWZrKNA&amp;feature=youtu.be","Video Solution - Eng Muntaser Abukadeja")</f>
        <v>Video Solution - Eng Muntaser Abukadeja</v>
      </c>
    </row>
    <row r="102">
      <c r="A102" s="113" t="s">
        <v>254</v>
      </c>
      <c r="B102" s="93" t="str">
        <f>HYPERLINK("http://codeforces.com/contest/682/problem/A","CF682-D2-A")</f>
        <v>CF682-D2-A</v>
      </c>
      <c r="C102" s="72"/>
      <c r="D102" s="86"/>
      <c r="E102" s="86"/>
      <c r="F102" s="86"/>
      <c r="G102" s="86"/>
      <c r="H102" s="81"/>
      <c r="I102" s="81">
        <f t="shared" si="4"/>
        <v>0</v>
      </c>
      <c r="J102" s="160"/>
      <c r="K102" s="80"/>
      <c r="L102" s="160"/>
      <c r="M102" s="161" t="str">
        <f>HYPERLINK("https://www.youtube.com/watch?v=05ZIXw2G4Pw&amp;feature=youtu.be","Video Solution - Eng John Gamal")</f>
        <v>Video Solution - Eng John Gamal</v>
      </c>
    </row>
    <row r="103">
      <c r="A103" s="113" t="s">
        <v>255</v>
      </c>
      <c r="B103" s="93" t="str">
        <f>HYPERLINK("http://codeforces.com/contest/218/problem/A","CF218-D2-A")</f>
        <v>CF218-D2-A</v>
      </c>
      <c r="C103" s="72"/>
      <c r="D103" s="86"/>
      <c r="E103" s="86"/>
      <c r="F103" s="86"/>
      <c r="G103" s="86"/>
      <c r="H103" s="81"/>
      <c r="I103" s="81">
        <f t="shared" si="4"/>
        <v>0</v>
      </c>
      <c r="J103" s="160"/>
      <c r="K103" s="80"/>
      <c r="L103" s="160"/>
      <c r="M103" s="161" t="str">
        <f>HYPERLINK("https://www.youtube.com/watch?v=qmGhxFPv5GI&amp;feature=youtu.be","Video Solution - Eng John Gamal")</f>
        <v>Video Solution - Eng John Gamal</v>
      </c>
    </row>
    <row r="104">
      <c r="A104" s="113" t="s">
        <v>256</v>
      </c>
      <c r="B104" s="93" t="str">
        <f>HYPERLINK("http://codeforces.com/contest/143/problem/A","CF143-D2-A")</f>
        <v>CF143-D2-A</v>
      </c>
      <c r="C104" s="72"/>
      <c r="D104" s="86"/>
      <c r="E104" s="86"/>
      <c r="F104" s="86"/>
      <c r="G104" s="86"/>
      <c r="H104" s="81"/>
      <c r="I104" s="81">
        <f t="shared" si="4"/>
        <v>0</v>
      </c>
      <c r="J104" s="160"/>
      <c r="K104" s="80"/>
      <c r="L104" s="160"/>
      <c r="M104" s="161" t="str">
        <f>HYPERLINK("https://www.youtube.com/watch?v=cmMkGSMHTKE","Video Solution - Eng John Gamal")</f>
        <v>Video Solution - Eng John Gamal</v>
      </c>
    </row>
    <row r="105">
      <c r="A105" s="113" t="s">
        <v>257</v>
      </c>
      <c r="B105" s="93" t="str">
        <f>HYPERLINK("http://codeforces.com/contest/514/problem/A","CF514-D2-A")</f>
        <v>CF514-D2-A</v>
      </c>
      <c r="C105" s="72"/>
      <c r="D105" s="86"/>
      <c r="E105" s="86"/>
      <c r="F105" s="86"/>
      <c r="G105" s="86"/>
      <c r="H105" s="81"/>
      <c r="I105" s="81">
        <f t="shared" si="4"/>
        <v>0</v>
      </c>
      <c r="J105" s="160"/>
      <c r="K105" s="80"/>
      <c r="L105" s="160"/>
      <c r="M105" s="161" t="str">
        <f>HYPERLINK("https://www.youtube.com/watch?v=wU51frCexTY&amp;feature=youtu.be","Video Solution - Eng Muntaser Abukadeja")</f>
        <v>Video Solution - Eng Muntaser Abukadeja</v>
      </c>
    </row>
    <row r="106">
      <c r="A106" s="113" t="s">
        <v>258</v>
      </c>
      <c r="B106" s="93" t="str">
        <f>HYPERLINK("http://codeforces.com/contest/382/problem/A","CF382-D2-A")</f>
        <v>CF382-D2-A</v>
      </c>
      <c r="C106" s="72"/>
      <c r="D106" s="86"/>
      <c r="E106" s="86"/>
      <c r="F106" s="86"/>
      <c r="G106" s="86"/>
      <c r="H106" s="81"/>
      <c r="I106" s="81">
        <f t="shared" si="4"/>
        <v>0</v>
      </c>
      <c r="J106" s="160"/>
      <c r="K106" s="80"/>
      <c r="L106" s="160"/>
      <c r="M106" s="102" t="str">
        <f>HYPERLINK("https://www.youtube.com/watch?v=6xkV-GeRs2o&amp;feature=youtu.be","Video Solution - Eng Samed Hajajla")</f>
        <v>Video Solution - Eng Samed Hajajla</v>
      </c>
    </row>
    <row r="107">
      <c r="A107" s="113" t="s">
        <v>259</v>
      </c>
      <c r="B107" s="93" t="str">
        <f>HYPERLINK("http://codeforces.com/contest/699/problem/A","CF699-D2-A")</f>
        <v>CF699-D2-A</v>
      </c>
      <c r="C107" s="72"/>
      <c r="D107" s="86"/>
      <c r="E107" s="86"/>
      <c r="F107" s="86"/>
      <c r="G107" s="86"/>
      <c r="H107" s="81"/>
      <c r="I107" s="81">
        <f t="shared" si="4"/>
        <v>0</v>
      </c>
      <c r="J107" s="160"/>
      <c r="K107" s="80"/>
      <c r="L107" s="160"/>
      <c r="M107" s="161" t="str">
        <f>HYPERLINK("https://www.youtube.com/watch?v=2xSkHmA5z8s","Video Solution - Eng Samed Hajajla")</f>
        <v>Video Solution - Eng Samed Hajajla</v>
      </c>
    </row>
    <row r="108">
      <c r="A108" s="121" t="s">
        <v>260</v>
      </c>
      <c r="B108" s="163" t="str">
        <f>HYPERLINK("http://codeforces.com/contest/289/problem/A","CF289-D2-A")</f>
        <v>CF289-D2-A</v>
      </c>
      <c r="C108" s="72"/>
      <c r="D108" s="86"/>
      <c r="E108" s="86"/>
      <c r="F108" s="86"/>
      <c r="G108" s="86"/>
      <c r="H108" s="81"/>
      <c r="I108" s="81">
        <f t="shared" si="4"/>
        <v>0</v>
      </c>
      <c r="J108" s="47"/>
      <c r="K108" s="80"/>
      <c r="L108" s="47"/>
      <c r="M108" s="164" t="str">
        <f>HYPERLINK("https://www.youtube.com/watch?v=EjH3kDiEpS0","Video Solution - Dr Mostafa Saad")</f>
        <v>Video Solution - Dr Mostafa Saad</v>
      </c>
    </row>
    <row r="109">
      <c r="A109" s="121" t="s">
        <v>261</v>
      </c>
      <c r="B109" s="163" t="str">
        <f>HYPERLINK("http://codeforces.com/contest/287/problem/A","CF287-D2-A")</f>
        <v>CF287-D2-A</v>
      </c>
      <c r="C109" s="72"/>
      <c r="D109" s="86"/>
      <c r="E109" s="86"/>
      <c r="F109" s="86"/>
      <c r="G109" s="86"/>
      <c r="H109" s="81"/>
      <c r="I109" s="81">
        <f t="shared" si="4"/>
        <v>0</v>
      </c>
      <c r="J109" s="47"/>
      <c r="K109" s="80"/>
      <c r="L109" s="47"/>
      <c r="M109" s="164" t="str">
        <f>HYPERLINK("https://www.youtube.com/watch?v=n7uY7HC4XIM","Video Solution - Dr Mostafa Saad")</f>
        <v>Video Solution - Dr Mostafa Saad</v>
      </c>
    </row>
    <row r="110">
      <c r="A110" s="121" t="s">
        <v>262</v>
      </c>
      <c r="B110" s="163" t="str">
        <f>HYPERLINK("http://codeforces.com/contest/296/problem/A","CF296-D2-A")</f>
        <v>CF296-D2-A</v>
      </c>
      <c r="C110" s="72"/>
      <c r="D110" s="86"/>
      <c r="E110" s="86"/>
      <c r="F110" s="86"/>
      <c r="G110" s="86"/>
      <c r="H110" s="81"/>
      <c r="I110" s="81">
        <f t="shared" si="4"/>
        <v>0</v>
      </c>
      <c r="J110" s="47"/>
      <c r="K110" s="80"/>
      <c r="L110" s="47"/>
      <c r="M110" s="164" t="str">
        <f>HYPERLINK("https://www.youtube.com/watch?v=kdgWBRPqMfo","Video Solution - Dr Mostafa Saad")</f>
        <v>Video Solution - Dr Mostafa Saad</v>
      </c>
    </row>
    <row r="111">
      <c r="A111" s="121" t="s">
        <v>263</v>
      </c>
      <c r="B111" s="163" t="str">
        <f>HYPERLINK("http://codeforces.com/contest/298/problem/A","CF298-D2-A")</f>
        <v>CF298-D2-A</v>
      </c>
      <c r="C111" s="72"/>
      <c r="D111" s="86"/>
      <c r="E111" s="86"/>
      <c r="F111" s="86"/>
      <c r="G111" s="86"/>
      <c r="H111" s="81"/>
      <c r="I111" s="81">
        <f t="shared" si="4"/>
        <v>0</v>
      </c>
      <c r="J111" s="47"/>
      <c r="K111" s="80"/>
      <c r="L111" s="47"/>
      <c r="M111" s="164" t="str">
        <f>HYPERLINK("https://www.youtube.com/watch?v=oX_hPHnYgMA","Video Solution - Dr Mostafa Saad")</f>
        <v>Video Solution - Dr Mostafa Saad</v>
      </c>
    </row>
    <row r="112">
      <c r="A112" s="165" t="s">
        <v>264</v>
      </c>
      <c r="B112" s="166" t="str">
        <f>HYPERLINK("http://codeforces.com/contest/579/problem/A","CF579-D2-A")</f>
        <v>CF579-D2-A</v>
      </c>
      <c r="C112" s="72"/>
      <c r="D112" s="86"/>
      <c r="E112" s="86"/>
      <c r="F112" s="86"/>
      <c r="G112" s="86"/>
      <c r="H112" s="81"/>
      <c r="I112" s="81">
        <f t="shared" si="4"/>
        <v>0</v>
      </c>
      <c r="J112" s="47"/>
      <c r="K112" s="80"/>
      <c r="L112" s="47"/>
      <c r="M112" s="142" t="str">
        <f>HYPERLINK("https://www.youtube.com/watch?v=UWMDrh1shXg","Video Solution - Eng Ahmed Rafaat (Python)")</f>
        <v>Video Solution - Eng Ahmed Rafaat (Python)</v>
      </c>
    </row>
    <row r="113">
      <c r="A113" s="165" t="s">
        <v>265</v>
      </c>
      <c r="B113" s="166" t="str">
        <f>HYPERLINK("https://codeforces.com/contest/1204/problem/A","CF1204-D2-A")</f>
        <v>CF1204-D2-A</v>
      </c>
      <c r="C113" s="72"/>
      <c r="D113" s="86"/>
      <c r="E113" s="86"/>
      <c r="F113" s="86"/>
      <c r="G113" s="86"/>
      <c r="H113" s="81"/>
      <c r="I113" s="81">
        <f t="shared" si="4"/>
        <v>0</v>
      </c>
      <c r="J113" s="47"/>
      <c r="K113" s="80"/>
      <c r="L113" s="47"/>
      <c r="M113" s="161" t="str">
        <f>HYPERLINK("https://www.youtube.com/watch?v=4ITr6GaZP","Video Solution - Dr Mostafa Saad")</f>
        <v>Video Solution - Dr Mostafa Saad</v>
      </c>
    </row>
    <row r="114">
      <c r="A114" s="165" t="s">
        <v>266</v>
      </c>
      <c r="B114" s="167" t="str">
        <f>HYPERLINK("https://codeforces.com/contest/1237/problem/A","CF1237-D12-A")</f>
        <v>CF1237-D12-A</v>
      </c>
      <c r="C114" s="72"/>
      <c r="D114" s="86"/>
      <c r="E114" s="86"/>
      <c r="F114" s="86"/>
      <c r="G114" s="86"/>
      <c r="H114" s="81"/>
      <c r="I114" s="81">
        <f t="shared" si="4"/>
        <v>0</v>
      </c>
      <c r="J114" s="47"/>
      <c r="K114" s="80"/>
      <c r="L114" s="47"/>
      <c r="M114" s="168"/>
    </row>
    <row r="115">
      <c r="A115" s="156"/>
      <c r="B115" s="157"/>
      <c r="C115" s="72"/>
      <c r="D115" s="86"/>
      <c r="E115" s="86"/>
      <c r="F115" s="86"/>
      <c r="G115" s="86"/>
      <c r="H115" s="81"/>
      <c r="I115" s="81">
        <f t="shared" si="4"/>
        <v>0</v>
      </c>
      <c r="J115" s="160"/>
      <c r="K115" s="80"/>
      <c r="L115" s="160"/>
      <c r="M115" s="90"/>
    </row>
    <row r="116">
      <c r="A116" s="156"/>
      <c r="B116" s="157"/>
      <c r="C116" s="72"/>
      <c r="D116" s="86"/>
      <c r="E116" s="86"/>
      <c r="F116" s="86"/>
      <c r="G116" s="86"/>
      <c r="H116" s="81"/>
      <c r="I116" s="81">
        <f t="shared" si="4"/>
        <v>0</v>
      </c>
      <c r="J116" s="160"/>
      <c r="K116" s="80"/>
      <c r="L116" s="160"/>
      <c r="M116" s="90" t="str">
        <f>HYPERLINK("https://www.youtube.com/watch?v=2G7RzlxTNPo","Watch - Search Techniques - Binary Search")</f>
        <v>Watch - Search Techniques - Binary Search</v>
      </c>
    </row>
    <row r="117">
      <c r="A117" s="169" t="s">
        <v>267</v>
      </c>
      <c r="B117" s="134" t="str">
        <f>HYPERLINK("https://uva.onlinejudge.org/index.php?option=com_onlinejudge&amp;Itemid=8&amp;page=show_problem&amp;problem=1552","UVA 10611")</f>
        <v>UVA 10611</v>
      </c>
      <c r="C117" s="72"/>
      <c r="D117" s="86"/>
      <c r="E117" s="86"/>
      <c r="F117" s="86"/>
      <c r="G117" s="86"/>
      <c r="H117" s="81"/>
      <c r="I117" s="81">
        <f t="shared" si="4"/>
        <v>0</v>
      </c>
      <c r="J117" s="47"/>
      <c r="K117" s="80"/>
      <c r="L117" s="47"/>
      <c r="M117" s="135" t="str">
        <f>HYPERLINK("https://www.youtube.com/watch?v=OsfeunBJFzw","Video Solution - Eng Ayman Salah")</f>
        <v>Video Solution - Eng Ayman Salah</v>
      </c>
    </row>
    <row r="118">
      <c r="A118" s="158" t="s">
        <v>268</v>
      </c>
      <c r="B118" s="170" t="str">
        <f>HYPERLINK("http://codeforces.com/contest/287/problem/B","CF287-D2-B")</f>
        <v>CF287-D2-B</v>
      </c>
      <c r="C118" s="72"/>
      <c r="D118" s="86"/>
      <c r="E118" s="86"/>
      <c r="F118" s="86"/>
      <c r="G118" s="86"/>
      <c r="H118" s="81"/>
      <c r="I118" s="81">
        <f t="shared" si="4"/>
        <v>0</v>
      </c>
      <c r="J118" s="160"/>
      <c r="K118" s="80"/>
      <c r="L118" s="160"/>
      <c r="M118" s="161" t="str">
        <f>HYPERLINK("https://www.youtube.com/watch?v=mhrz7F01Vqs","Video Solution - Dr Mostafa Saad")</f>
        <v>Video Solution - Dr Mostafa Saad</v>
      </c>
    </row>
    <row r="119">
      <c r="A119" s="171" t="s">
        <v>269</v>
      </c>
      <c r="B119" s="172" t="str">
        <f>HYPERLINK("https://codeforces.com/contest/165/problem/B","CF165-D2-B")</f>
        <v>CF165-D2-B</v>
      </c>
      <c r="C119" s="72"/>
      <c r="D119" s="86"/>
      <c r="E119" s="86"/>
      <c r="F119" s="86"/>
      <c r="G119" s="86"/>
      <c r="H119" s="81"/>
      <c r="I119" s="81">
        <f t="shared" si="4"/>
        <v>0</v>
      </c>
      <c r="J119" s="47"/>
      <c r="K119" s="80"/>
      <c r="L119" s="47"/>
      <c r="M119" s="99"/>
    </row>
    <row r="120">
      <c r="A120" s="158" t="s">
        <v>270</v>
      </c>
      <c r="B120" s="159" t="str">
        <f>HYPERLINK("http://www.spoj.com/problems/AGGRCOW/","SPOJ AGGRCOW")</f>
        <v>SPOJ AGGRCOW</v>
      </c>
      <c r="C120" s="72"/>
      <c r="D120" s="86"/>
      <c r="E120" s="86"/>
      <c r="F120" s="86"/>
      <c r="G120" s="86"/>
      <c r="H120" s="81"/>
      <c r="I120" s="81">
        <f t="shared" si="4"/>
        <v>0</v>
      </c>
      <c r="J120" s="47"/>
      <c r="K120" s="80"/>
      <c r="L120" s="47"/>
      <c r="M120" s="101" t="str">
        <f>HYPERLINK("https://www.youtube.com/watch?v=2R9L6mVal9U","Video Solution - Eng Youssef El Ghareeb")</f>
        <v>Video Solution - Eng Youssef El Ghareeb</v>
      </c>
    </row>
    <row r="121">
      <c r="A121" s="173"/>
      <c r="B121" s="174"/>
      <c r="C121" s="175"/>
      <c r="D121" s="176"/>
      <c r="E121" s="176"/>
      <c r="F121" s="176"/>
      <c r="G121" s="176"/>
      <c r="H121" s="177"/>
      <c r="I121" s="177">
        <f t="shared" ref="I121:I123" si="5">SUM(E121:G121)</f>
        <v>0</v>
      </c>
      <c r="J121" s="176"/>
      <c r="K121" s="176"/>
      <c r="L121" s="176"/>
      <c r="M121" s="173"/>
    </row>
    <row r="122">
      <c r="A122" s="114"/>
      <c r="B122" s="115"/>
      <c r="C122" s="72"/>
      <c r="D122" s="178" t="s">
        <v>271</v>
      </c>
      <c r="H122" s="81"/>
      <c r="I122" s="81">
        <f t="shared" si="5"/>
        <v>0</v>
      </c>
      <c r="J122" s="179" t="s">
        <v>272</v>
      </c>
    </row>
    <row r="123">
      <c r="A123" s="173"/>
      <c r="B123" s="174"/>
      <c r="C123" s="175"/>
      <c r="D123" s="176"/>
      <c r="E123" s="176"/>
      <c r="F123" s="176"/>
      <c r="G123" s="176"/>
      <c r="H123" s="177"/>
      <c r="I123" s="177">
        <f t="shared" si="5"/>
        <v>0</v>
      </c>
      <c r="J123" s="176"/>
      <c r="K123" s="176"/>
      <c r="L123" s="176"/>
      <c r="M123" s="173"/>
    </row>
    <row r="124">
      <c r="A124" s="110" t="s">
        <v>273</v>
      </c>
      <c r="B124" s="111" t="str">
        <f>HYPERLINK("http://codeforces.com/contest/281/problem/A","CF281-D2-A")</f>
        <v>CF281-D2-A</v>
      </c>
      <c r="C124" s="116"/>
      <c r="D124" s="117"/>
      <c r="E124" s="117"/>
      <c r="F124" s="117"/>
      <c r="G124" s="117"/>
      <c r="H124" s="116"/>
      <c r="I124" s="81">
        <f t="shared" ref="I124:I250" si="6">SUM(E124:H124)</f>
        <v>0</v>
      </c>
      <c r="J124" s="47"/>
      <c r="K124" s="116"/>
      <c r="L124" s="47"/>
      <c r="M124" s="109" t="str">
        <f>HYPERLINK("https://www.youtube.com/watch?v=GctpZIJ8xBA","Video Solution - Solver to be (Java)")</f>
        <v>Video Solution - Solver to be (Java)</v>
      </c>
    </row>
    <row r="125">
      <c r="A125" s="110" t="s">
        <v>274</v>
      </c>
      <c r="B125" s="111" t="str">
        <f>HYPERLINK("http://codeforces.com/contest/158/problem/A","CF158-D12-A")</f>
        <v>CF158-D12-A</v>
      </c>
      <c r="C125" s="116"/>
      <c r="D125" s="117"/>
      <c r="E125" s="117"/>
      <c r="F125" s="117"/>
      <c r="G125" s="117"/>
      <c r="H125" s="116"/>
      <c r="I125" s="81">
        <f t="shared" si="6"/>
        <v>0</v>
      </c>
      <c r="J125" s="47"/>
      <c r="K125" s="116"/>
      <c r="L125" s="47"/>
      <c r="M125" s="128" t="str">
        <f>HYPERLINK("https://www.youtube.com/watch?v=jwF2F5D8j9o","Video Solution - Solver to be (Java)")</f>
        <v>Video Solution - Solver to be (Java)</v>
      </c>
    </row>
    <row r="126">
      <c r="A126" s="110" t="s">
        <v>275</v>
      </c>
      <c r="B126" s="111" t="str">
        <f>HYPERLINK("http://codeforces.com/contest/69/problem/A","CF69-D2-A")</f>
        <v>CF69-D2-A</v>
      </c>
      <c r="C126" s="116"/>
      <c r="D126" s="117"/>
      <c r="E126" s="117"/>
      <c r="F126" s="117"/>
      <c r="G126" s="117"/>
      <c r="H126" s="116"/>
      <c r="I126" s="81">
        <f t="shared" si="6"/>
        <v>0</v>
      </c>
      <c r="J126" s="47"/>
      <c r="K126" s="116"/>
      <c r="L126" s="47"/>
      <c r="M126" s="128" t="str">
        <f>HYPERLINK("https://www.youtube.com/watch?v=L8pMTIq7DFM","Video Solution - Solver to be (Java)")</f>
        <v>Video Solution - Solver to be (Java)</v>
      </c>
    </row>
    <row r="127">
      <c r="A127" s="110" t="s">
        <v>276</v>
      </c>
      <c r="B127" s="111" t="str">
        <f>HYPERLINK("http://codeforces.com/contest/282/problem/A","CF282-D2-A")</f>
        <v>CF282-D2-A</v>
      </c>
      <c r="C127" s="50"/>
      <c r="D127" s="47"/>
      <c r="E127" s="47"/>
      <c r="F127" s="47"/>
      <c r="G127" s="47"/>
      <c r="H127" s="50"/>
      <c r="I127" s="81">
        <f t="shared" si="6"/>
        <v>0</v>
      </c>
      <c r="J127" s="47"/>
      <c r="K127" s="116"/>
      <c r="L127" s="47"/>
      <c r="M127" s="128" t="str">
        <f>HYPERLINK("https://www.youtube.com/watch?v=5TyT1RIv3wM","Video Solution - Solver to be (Java)")</f>
        <v>Video Solution - Solver to be (Java)</v>
      </c>
    </row>
    <row r="128">
      <c r="A128" s="110" t="s">
        <v>277</v>
      </c>
      <c r="B128" s="111" t="str">
        <f>HYPERLINK("http://codeforces.com/contest/556/problem/A","CF556-D2-A")</f>
        <v>CF556-D2-A</v>
      </c>
      <c r="C128" s="116"/>
      <c r="D128" s="117"/>
      <c r="E128" s="117"/>
      <c r="F128" s="117"/>
      <c r="G128" s="117"/>
      <c r="H128" s="116"/>
      <c r="I128" s="81">
        <f t="shared" si="6"/>
        <v>0</v>
      </c>
      <c r="J128" s="47"/>
      <c r="K128" s="116"/>
      <c r="L128" s="47"/>
      <c r="M128" s="128" t="str">
        <f>HYPERLINK("https://www.youtube.com/watch?v=rud5ZbfjBxg","Video Solution - Solver to be (Java)")</f>
        <v>Video Solution - Solver to be (Java)</v>
      </c>
    </row>
    <row r="129">
      <c r="A129" s="110" t="s">
        <v>278</v>
      </c>
      <c r="B129" s="111" t="str">
        <f>HYPERLINK("http://codeforces.com/contest/41/problem/A","CF41-D2-A")</f>
        <v>CF41-D2-A</v>
      </c>
      <c r="C129" s="116"/>
      <c r="D129" s="117"/>
      <c r="E129" s="117"/>
      <c r="F129" s="117"/>
      <c r="G129" s="117"/>
      <c r="H129" s="116"/>
      <c r="I129" s="81">
        <f t="shared" si="6"/>
        <v>0</v>
      </c>
      <c r="J129" s="47"/>
      <c r="K129" s="116"/>
      <c r="L129" s="47"/>
      <c r="M129" s="128" t="str">
        <f>HYPERLINK("https://www.youtube.com/watch?v=2rXyyB_2zX8","Video Solution - Solver to be (Java)")</f>
        <v>Video Solution - Solver to be (Java)</v>
      </c>
    </row>
    <row r="130">
      <c r="A130" s="110" t="s">
        <v>279</v>
      </c>
      <c r="B130" s="111" t="str">
        <f>HYPERLINK("http://codeforces.com/contest/118/problem/A","CF118-D2-A")</f>
        <v>CF118-D2-A</v>
      </c>
      <c r="C130" s="116"/>
      <c r="D130" s="117"/>
      <c r="E130" s="117"/>
      <c r="F130" s="117"/>
      <c r="G130" s="117"/>
      <c r="H130" s="116"/>
      <c r="I130" s="81">
        <f t="shared" si="6"/>
        <v>0</v>
      </c>
      <c r="J130" s="47"/>
      <c r="K130" s="116"/>
      <c r="L130" s="47"/>
      <c r="M130" s="128" t="str">
        <f>HYPERLINK("https://www.youtube.com/watch?v=fiYo2lKksN0","Video Solution - Solver to be (Java)")</f>
        <v>Video Solution - Solver to be (Java)</v>
      </c>
    </row>
    <row r="131">
      <c r="A131" s="103" t="s">
        <v>280</v>
      </c>
      <c r="B131" s="104" t="str">
        <f>HYPERLINK("http://codeforces.com/contest/456/problem/A","CF456-D2-A")</f>
        <v>CF456-D2-A</v>
      </c>
      <c r="C131" s="116"/>
      <c r="D131" s="117"/>
      <c r="E131" s="117"/>
      <c r="F131" s="117"/>
      <c r="G131" s="117"/>
      <c r="H131" s="116"/>
      <c r="I131" s="81">
        <f t="shared" si="6"/>
        <v>0</v>
      </c>
      <c r="J131" s="117"/>
      <c r="K131" s="116"/>
      <c r="L131" s="117"/>
      <c r="M131" s="128" t="str">
        <f>HYPERLINK("https://www.youtube.com/watch?v=_Ab4PUC2vMk","Video Solution - Solver to be (Java)")</f>
        <v>Video Solution - Solver to be (Java)</v>
      </c>
    </row>
    <row r="132">
      <c r="A132" s="92" t="s">
        <v>281</v>
      </c>
      <c r="B132" s="166" t="str">
        <f>HYPERLINK("http://codeforces.com/contest/950/problem/A","CF950-D2-A")</f>
        <v>CF950-D2-A</v>
      </c>
      <c r="C132" s="72"/>
      <c r="D132" s="86"/>
      <c r="E132" s="86"/>
      <c r="F132" s="86"/>
      <c r="G132" s="86"/>
      <c r="H132" s="81"/>
      <c r="I132" s="81">
        <f t="shared" si="6"/>
        <v>0</v>
      </c>
      <c r="J132" s="180"/>
      <c r="K132" s="80"/>
      <c r="L132" s="180"/>
      <c r="M132" s="161" t="str">
        <f>HYPERLINK("https://www.youtube.com/watch?v=YQ48TRf4-T8&amp;feature=youtu.be","Video Solution - Eng Hossam Yehia")</f>
        <v>Video Solution - Eng Hossam Yehia</v>
      </c>
    </row>
    <row r="133">
      <c r="A133" s="92" t="s">
        <v>282</v>
      </c>
      <c r="B133" s="181" t="str">
        <f>HYPERLINK("http://codeforces.com/contest/467/problem/A","CF467-D2-A")</f>
        <v>CF467-D2-A</v>
      </c>
      <c r="C133" s="72"/>
      <c r="D133" s="86"/>
      <c r="E133" s="86"/>
      <c r="F133" s="86"/>
      <c r="G133" s="86"/>
      <c r="H133" s="81"/>
      <c r="I133" s="81">
        <f t="shared" si="6"/>
        <v>0</v>
      </c>
      <c r="J133" s="180"/>
      <c r="K133" s="80"/>
      <c r="L133" s="180"/>
      <c r="M133" s="142" t="str">
        <f>HYPERLINK("https://www.youtube.com/watch?v=ueGooXZFeTE","Video Solution - Eng Ahmed Rafaat (Python)")</f>
        <v>Video Solution - Eng Ahmed Rafaat (Python)</v>
      </c>
    </row>
    <row r="134">
      <c r="A134" s="92" t="s">
        <v>283</v>
      </c>
      <c r="B134" s="181" t="str">
        <f>HYPERLINK("http://codeforces.com/contest/581/problem/A","CF581-D2-A")</f>
        <v>CF581-D2-A</v>
      </c>
      <c r="C134" s="72"/>
      <c r="D134" s="86"/>
      <c r="E134" s="86"/>
      <c r="F134" s="86"/>
      <c r="G134" s="86"/>
      <c r="H134" s="81"/>
      <c r="I134" s="81">
        <f t="shared" si="6"/>
        <v>0</v>
      </c>
      <c r="J134" s="180"/>
      <c r="K134" s="80"/>
      <c r="L134" s="180"/>
      <c r="M134" s="114"/>
    </row>
    <row r="135">
      <c r="A135" s="92" t="s">
        <v>284</v>
      </c>
      <c r="B135" s="181" t="str">
        <f>HYPERLINK("http://codeforces.com/contest/510/problem/A","CF510-D2-A")</f>
        <v>CF510-D2-A</v>
      </c>
      <c r="C135" s="72"/>
      <c r="D135" s="86"/>
      <c r="E135" s="86"/>
      <c r="F135" s="86"/>
      <c r="G135" s="86"/>
      <c r="H135" s="81"/>
      <c r="I135" s="81">
        <f t="shared" si="6"/>
        <v>0</v>
      </c>
      <c r="J135" s="180"/>
      <c r="K135" s="80"/>
      <c r="L135" s="180"/>
      <c r="M135" s="114"/>
    </row>
    <row r="136">
      <c r="A136" s="92" t="s">
        <v>285</v>
      </c>
      <c r="B136" s="181" t="str">
        <f>HYPERLINK("http://codeforces.com/contest/723/problem/A","CF723-D2-A")</f>
        <v>CF723-D2-A</v>
      </c>
      <c r="C136" s="72"/>
      <c r="D136" s="86"/>
      <c r="E136" s="86"/>
      <c r="F136" s="86"/>
      <c r="G136" s="86"/>
      <c r="H136" s="81"/>
      <c r="I136" s="81">
        <f t="shared" si="6"/>
        <v>0</v>
      </c>
      <c r="J136" s="180"/>
      <c r="K136" s="80"/>
      <c r="L136" s="180"/>
      <c r="M136" s="114"/>
    </row>
    <row r="137">
      <c r="A137" s="92" t="s">
        <v>286</v>
      </c>
      <c r="B137" s="181" t="str">
        <f>HYPERLINK("http://codeforces.com/contest/617/problem/A","CF617-D2-A")</f>
        <v>CF617-D2-A</v>
      </c>
      <c r="C137" s="72"/>
      <c r="D137" s="86"/>
      <c r="E137" s="86"/>
      <c r="F137" s="86"/>
      <c r="G137" s="86"/>
      <c r="H137" s="81"/>
      <c r="I137" s="81">
        <f t="shared" si="6"/>
        <v>0</v>
      </c>
      <c r="J137" s="180"/>
      <c r="K137" s="80"/>
      <c r="L137" s="180"/>
      <c r="M137" s="114"/>
    </row>
    <row r="138">
      <c r="A138" s="92" t="s">
        <v>287</v>
      </c>
      <c r="B138" s="181" t="str">
        <f>HYPERLINK("http://codeforces.com/contest/255/problem/A","CF255-D2-A")</f>
        <v>CF255-D2-A</v>
      </c>
      <c r="C138" s="72"/>
      <c r="D138" s="86"/>
      <c r="E138" s="86"/>
      <c r="F138" s="86"/>
      <c r="G138" s="86"/>
      <c r="H138" s="81"/>
      <c r="I138" s="81">
        <f t="shared" si="6"/>
        <v>0</v>
      </c>
      <c r="J138" s="180"/>
      <c r="K138" s="80"/>
      <c r="L138" s="180"/>
      <c r="M138" s="114"/>
    </row>
    <row r="139">
      <c r="A139" s="92" t="s">
        <v>288</v>
      </c>
      <c r="B139" s="181" t="str">
        <f>HYPERLINK("http://codeforces.com/contest/61/problem/A","CF61-D2-A")</f>
        <v>CF61-D2-A</v>
      </c>
      <c r="C139" s="72"/>
      <c r="D139" s="86"/>
      <c r="E139" s="86"/>
      <c r="F139" s="86"/>
      <c r="G139" s="86"/>
      <c r="H139" s="81"/>
      <c r="I139" s="81">
        <f t="shared" si="6"/>
        <v>0</v>
      </c>
      <c r="J139" s="180"/>
      <c r="K139" s="80"/>
      <c r="L139" s="180"/>
      <c r="M139" s="114"/>
    </row>
    <row r="140">
      <c r="A140" s="92" t="s">
        <v>289</v>
      </c>
      <c r="B140" s="181" t="str">
        <f>HYPERLINK("http://codeforces.com/contest/454/problem/A","CF454-D2-A")</f>
        <v>CF454-D2-A</v>
      </c>
      <c r="C140" s="72"/>
      <c r="D140" s="86"/>
      <c r="E140" s="86"/>
      <c r="F140" s="86"/>
      <c r="G140" s="86"/>
      <c r="H140" s="81"/>
      <c r="I140" s="81">
        <f t="shared" si="6"/>
        <v>0</v>
      </c>
      <c r="J140" s="180"/>
      <c r="K140" s="80"/>
      <c r="L140" s="180"/>
      <c r="M140" s="114"/>
    </row>
    <row r="141">
      <c r="A141" s="92" t="s">
        <v>290</v>
      </c>
      <c r="B141" s="181" t="str">
        <f>HYPERLINK("http://codeforces.com/contest/721/problem/A","CF721-D2-A")</f>
        <v>CF721-D2-A</v>
      </c>
      <c r="C141" s="72"/>
      <c r="D141" s="86"/>
      <c r="E141" s="86"/>
      <c r="F141" s="86"/>
      <c r="G141" s="86"/>
      <c r="H141" s="81"/>
      <c r="I141" s="81">
        <f t="shared" si="6"/>
        <v>0</v>
      </c>
      <c r="J141" s="180"/>
      <c r="K141" s="80"/>
      <c r="L141" s="180"/>
      <c r="M141" s="114"/>
    </row>
    <row r="142">
      <c r="A142" s="92" t="s">
        <v>291</v>
      </c>
      <c r="B142" s="181" t="str">
        <f>HYPERLINK("http://codeforces.com/contest/546/problem/A","CF546-D2-A")</f>
        <v>CF546-D2-A</v>
      </c>
      <c r="C142" s="72"/>
      <c r="D142" s="86"/>
      <c r="E142" s="86"/>
      <c r="F142" s="86"/>
      <c r="G142" s="86"/>
      <c r="H142" s="81"/>
      <c r="I142" s="81">
        <f t="shared" si="6"/>
        <v>0</v>
      </c>
      <c r="J142" s="180"/>
      <c r="K142" s="80"/>
      <c r="L142" s="180"/>
      <c r="M142" s="114"/>
    </row>
    <row r="143">
      <c r="A143" s="92"/>
      <c r="B143" s="157"/>
      <c r="C143" s="72"/>
      <c r="D143" s="86"/>
      <c r="E143" s="86"/>
      <c r="F143" s="86"/>
      <c r="G143" s="86"/>
      <c r="H143" s="81"/>
      <c r="I143" s="81">
        <f t="shared" si="6"/>
        <v>0</v>
      </c>
      <c r="J143" s="180"/>
      <c r="K143" s="80"/>
      <c r="L143" s="180"/>
      <c r="M143" s="114"/>
    </row>
    <row r="144">
      <c r="A144" s="92" t="s">
        <v>292</v>
      </c>
      <c r="B144" s="181" t="str">
        <f>HYPERLINK("http://codeforces.com/contest/711/problem/A","CF711-D2-A")</f>
        <v>CF711-D2-A</v>
      </c>
      <c r="C144" s="72"/>
      <c r="D144" s="86"/>
      <c r="E144" s="86"/>
      <c r="F144" s="86"/>
      <c r="G144" s="86"/>
      <c r="H144" s="81"/>
      <c r="I144" s="81">
        <f t="shared" si="6"/>
        <v>0</v>
      </c>
      <c r="J144" s="180"/>
      <c r="K144" s="80"/>
      <c r="L144" s="180"/>
      <c r="M144" s="114"/>
    </row>
    <row r="145">
      <c r="A145" s="150" t="s">
        <v>293</v>
      </c>
      <c r="B145" s="104" t="str">
        <f>HYPERLINK("http://codeforces.com/contest/129/problem/A","CF129-D2-A")</f>
        <v>CF129-D2-A</v>
      </c>
      <c r="C145" s="72"/>
      <c r="D145" s="86"/>
      <c r="E145" s="86"/>
      <c r="F145" s="86"/>
      <c r="G145" s="86"/>
      <c r="H145" s="81"/>
      <c r="I145" s="81">
        <f t="shared" si="6"/>
        <v>0</v>
      </c>
      <c r="J145" s="180"/>
      <c r="K145" s="80"/>
      <c r="L145" s="180"/>
      <c r="M145" s="114"/>
    </row>
    <row r="146">
      <c r="A146" s="113" t="s">
        <v>294</v>
      </c>
      <c r="B146" s="93" t="str">
        <f>HYPERLINK("http://codeforces.com/contest/22/problem/A","CF22-D2-A")</f>
        <v>CF22-D2-A</v>
      </c>
      <c r="C146" s="72"/>
      <c r="D146" s="86"/>
      <c r="E146" s="86"/>
      <c r="F146" s="86"/>
      <c r="G146" s="86"/>
      <c r="H146" s="81"/>
      <c r="I146" s="81">
        <f t="shared" si="6"/>
        <v>0</v>
      </c>
      <c r="J146" s="180"/>
      <c r="K146" s="80"/>
      <c r="L146" s="180"/>
      <c r="M146" s="114"/>
    </row>
    <row r="147">
      <c r="A147" s="113" t="s">
        <v>295</v>
      </c>
      <c r="B147" s="93" t="str">
        <f>HYPERLINK("http://codeforces.com/contest/110/problem/A","CF110-D2-A")</f>
        <v>CF110-D2-A</v>
      </c>
      <c r="C147" s="72"/>
      <c r="D147" s="86"/>
      <c r="E147" s="86"/>
      <c r="F147" s="86"/>
      <c r="G147" s="86"/>
      <c r="H147" s="81"/>
      <c r="I147" s="81">
        <f t="shared" si="6"/>
        <v>0</v>
      </c>
      <c r="J147" s="180"/>
      <c r="K147" s="80"/>
      <c r="L147" s="180"/>
      <c r="M147" s="114"/>
    </row>
    <row r="148">
      <c r="A148" s="92" t="s">
        <v>296</v>
      </c>
      <c r="B148" s="181" t="str">
        <f>HYPERLINK("http://codeforces.com/contest/378/problem/A","CF378-D2-A")</f>
        <v>CF378-D2-A</v>
      </c>
      <c r="C148" s="72"/>
      <c r="D148" s="86"/>
      <c r="E148" s="86"/>
      <c r="F148" s="86"/>
      <c r="G148" s="86"/>
      <c r="H148" s="81"/>
      <c r="I148" s="81">
        <f t="shared" si="6"/>
        <v>0</v>
      </c>
      <c r="J148" s="180"/>
      <c r="K148" s="80"/>
      <c r="L148" s="180"/>
      <c r="M148" s="114"/>
    </row>
    <row r="149">
      <c r="A149" s="113" t="s">
        <v>297</v>
      </c>
      <c r="B149" s="93" t="str">
        <f>HYPERLINK("http://codeforces.com/contest/681/problem/A","CF681-D2-A")</f>
        <v>CF681-D2-A</v>
      </c>
      <c r="C149" s="72"/>
      <c r="D149" s="86"/>
      <c r="E149" s="86"/>
      <c r="F149" s="86"/>
      <c r="G149" s="86"/>
      <c r="H149" s="81"/>
      <c r="I149" s="81">
        <f t="shared" si="6"/>
        <v>0</v>
      </c>
      <c r="J149" s="180"/>
      <c r="K149" s="80"/>
      <c r="L149" s="180"/>
      <c r="M149" s="114"/>
    </row>
    <row r="150">
      <c r="A150" s="92" t="s">
        <v>298</v>
      </c>
      <c r="B150" s="181" t="str">
        <f>HYPERLINK("http://codeforces.com/contest/271/problem/A","CF271-D2-A")</f>
        <v>CF271-D2-A</v>
      </c>
      <c r="C150" s="72"/>
      <c r="D150" s="86"/>
      <c r="E150" s="86"/>
      <c r="F150" s="86"/>
      <c r="G150" s="86"/>
      <c r="H150" s="81"/>
      <c r="I150" s="81">
        <f t="shared" si="6"/>
        <v>0</v>
      </c>
      <c r="J150" s="180"/>
      <c r="K150" s="80"/>
      <c r="L150" s="180"/>
      <c r="M150" s="114"/>
    </row>
    <row r="151">
      <c r="A151" s="92" t="s">
        <v>299</v>
      </c>
      <c r="B151" s="181" t="str">
        <f>HYPERLINK("http://codeforces.com/contest/629/problem/A","CF629-D2-A")</f>
        <v>CF629-D2-A</v>
      </c>
      <c r="C151" s="72"/>
      <c r="D151" s="86"/>
      <c r="E151" s="86"/>
      <c r="F151" s="86"/>
      <c r="G151" s="86"/>
      <c r="H151" s="81"/>
      <c r="I151" s="81">
        <f t="shared" si="6"/>
        <v>0</v>
      </c>
      <c r="J151" s="180"/>
      <c r="K151" s="80"/>
      <c r="L151" s="180"/>
      <c r="M151" s="114"/>
    </row>
    <row r="152">
      <c r="A152" s="92" t="s">
        <v>300</v>
      </c>
      <c r="B152" s="181" t="str">
        <f>HYPERLINK("http://codeforces.com/contest/415/problem/A","CF415-D2-A")</f>
        <v>CF415-D2-A</v>
      </c>
      <c r="C152" s="72"/>
      <c r="D152" s="86"/>
      <c r="E152" s="86"/>
      <c r="F152" s="86"/>
      <c r="G152" s="86"/>
      <c r="H152" s="81"/>
      <c r="I152" s="81">
        <f t="shared" si="6"/>
        <v>0</v>
      </c>
      <c r="J152" s="180"/>
      <c r="K152" s="80"/>
      <c r="L152" s="180"/>
      <c r="M152" s="114"/>
    </row>
    <row r="153">
      <c r="A153" s="92" t="s">
        <v>301</v>
      </c>
      <c r="B153" s="181" t="str">
        <f>HYPERLINK("http://codeforces.com/contest/47/problem/A","CF47-D2-A")</f>
        <v>CF47-D2-A</v>
      </c>
      <c r="C153" s="72"/>
      <c r="D153" s="86"/>
      <c r="E153" s="86"/>
      <c r="F153" s="86"/>
      <c r="G153" s="86"/>
      <c r="H153" s="81"/>
      <c r="I153" s="81">
        <f t="shared" si="6"/>
        <v>0</v>
      </c>
      <c r="J153" s="180"/>
      <c r="K153" s="80"/>
      <c r="L153" s="180"/>
      <c r="M153" s="117"/>
    </row>
    <row r="154">
      <c r="A154" s="92"/>
      <c r="B154" s="157"/>
      <c r="C154" s="72"/>
      <c r="D154" s="86"/>
      <c r="E154" s="86"/>
      <c r="F154" s="86"/>
      <c r="G154" s="86"/>
      <c r="H154" s="81"/>
      <c r="I154" s="81">
        <f t="shared" si="6"/>
        <v>0</v>
      </c>
      <c r="J154" s="180"/>
      <c r="K154" s="80"/>
      <c r="L154" s="180"/>
      <c r="M154" s="117"/>
    </row>
    <row r="155">
      <c r="A155" s="92" t="s">
        <v>302</v>
      </c>
      <c r="B155" s="181" t="str">
        <f>HYPERLINK("http://codeforces.com/contest/262/problem/A","CF262-D2-A")</f>
        <v>CF262-D2-A</v>
      </c>
      <c r="C155" s="72"/>
      <c r="D155" s="86"/>
      <c r="E155" s="86"/>
      <c r="F155" s="86"/>
      <c r="G155" s="86"/>
      <c r="H155" s="81"/>
      <c r="I155" s="81">
        <f t="shared" si="6"/>
        <v>0</v>
      </c>
      <c r="J155" s="180"/>
      <c r="K155" s="80"/>
      <c r="L155" s="180"/>
      <c r="M155" s="114"/>
    </row>
    <row r="156">
      <c r="A156" s="92" t="s">
        <v>303</v>
      </c>
      <c r="B156" s="181" t="str">
        <f>HYPERLINK("http://codeforces.com/contest/84/problem/A","CF84-D2-A")</f>
        <v>CF84-D2-A</v>
      </c>
      <c r="C156" s="72"/>
      <c r="D156" s="86"/>
      <c r="E156" s="86"/>
      <c r="F156" s="86"/>
      <c r="G156" s="86"/>
      <c r="H156" s="81"/>
      <c r="I156" s="81">
        <f t="shared" si="6"/>
        <v>0</v>
      </c>
      <c r="J156" s="180"/>
      <c r="K156" s="80"/>
      <c r="L156" s="180"/>
      <c r="M156" s="117"/>
    </row>
    <row r="157">
      <c r="A157" s="92" t="s">
        <v>304</v>
      </c>
      <c r="B157" s="181" t="str">
        <f>HYPERLINK("http://codeforces.com/contest/361/problem/A","CF361-D2-A")</f>
        <v>CF361-D2-A</v>
      </c>
      <c r="C157" s="72"/>
      <c r="D157" s="86"/>
      <c r="E157" s="86"/>
      <c r="F157" s="86"/>
      <c r="G157" s="86"/>
      <c r="H157" s="81"/>
      <c r="I157" s="81">
        <f t="shared" si="6"/>
        <v>0</v>
      </c>
      <c r="J157" s="180"/>
      <c r="K157" s="80"/>
      <c r="L157" s="180"/>
      <c r="M157" s="117"/>
    </row>
    <row r="158">
      <c r="A158" s="92" t="s">
        <v>305</v>
      </c>
      <c r="B158" s="181" t="str">
        <f>HYPERLINK("http://codeforces.com/contest/701/problem/A","CF701-D2-A")</f>
        <v>CF701-D2-A</v>
      </c>
      <c r="C158" s="72"/>
      <c r="D158" s="86"/>
      <c r="E158" s="86"/>
      <c r="F158" s="86"/>
      <c r="G158" s="86"/>
      <c r="H158" s="81"/>
      <c r="I158" s="81">
        <f t="shared" si="6"/>
        <v>0</v>
      </c>
      <c r="J158" s="180"/>
      <c r="K158" s="80"/>
      <c r="L158" s="180"/>
      <c r="M158" s="117"/>
    </row>
    <row r="159">
      <c r="A159" s="92" t="s">
        <v>306</v>
      </c>
      <c r="B159" s="181" t="str">
        <f>HYPERLINK("http://codeforces.com/contest/591/problem/A","CF591-D2-A")</f>
        <v>CF591-D2-A</v>
      </c>
      <c r="C159" s="72"/>
      <c r="D159" s="86"/>
      <c r="E159" s="86"/>
      <c r="F159" s="86"/>
      <c r="G159" s="86"/>
      <c r="H159" s="81"/>
      <c r="I159" s="81">
        <f t="shared" si="6"/>
        <v>0</v>
      </c>
      <c r="J159" s="180"/>
      <c r="K159" s="80"/>
      <c r="L159" s="180"/>
      <c r="M159" s="117"/>
    </row>
    <row r="160">
      <c r="A160" s="92" t="s">
        <v>307</v>
      </c>
      <c r="B160" s="181" t="str">
        <f>HYPERLINK("http://codeforces.com/contest/540/problem/A","CF540-D2-A")</f>
        <v>CF540-D2-A</v>
      </c>
      <c r="C160" s="72"/>
      <c r="D160" s="86"/>
      <c r="E160" s="86"/>
      <c r="F160" s="86"/>
      <c r="G160" s="86"/>
      <c r="H160" s="81"/>
      <c r="I160" s="81">
        <f t="shared" si="6"/>
        <v>0</v>
      </c>
      <c r="J160" s="180"/>
      <c r="K160" s="80"/>
      <c r="L160" s="180"/>
      <c r="M160" s="117"/>
    </row>
    <row r="161">
      <c r="A161" s="92" t="s">
        <v>308</v>
      </c>
      <c r="B161" s="181" t="str">
        <f>HYPERLINK("http://codeforces.com/contest/672/problem/A","CF672-D2-A")</f>
        <v>CF672-D2-A</v>
      </c>
      <c r="C161" s="72"/>
      <c r="D161" s="86"/>
      <c r="E161" s="86"/>
      <c r="F161" s="86"/>
      <c r="G161" s="86"/>
      <c r="H161" s="81"/>
      <c r="I161" s="81">
        <f t="shared" si="6"/>
        <v>0</v>
      </c>
      <c r="J161" s="180"/>
      <c r="K161" s="80"/>
      <c r="L161" s="180"/>
      <c r="M161" s="117"/>
    </row>
    <row r="162">
      <c r="A162" s="103" t="s">
        <v>309</v>
      </c>
      <c r="B162" s="104" t="str">
        <f>HYPERLINK("http://codeforces.com/contest/151/problem/A","CF151-D2-A")</f>
        <v>CF151-D2-A</v>
      </c>
      <c r="C162" s="72"/>
      <c r="D162" s="86"/>
      <c r="E162" s="86"/>
      <c r="F162" s="86"/>
      <c r="G162" s="86"/>
      <c r="H162" s="81"/>
      <c r="I162" s="81">
        <f t="shared" si="6"/>
        <v>0</v>
      </c>
      <c r="J162" s="180"/>
      <c r="K162" s="80"/>
      <c r="L162" s="180"/>
      <c r="M162" s="117"/>
    </row>
    <row r="163">
      <c r="A163" s="103" t="s">
        <v>310</v>
      </c>
      <c r="B163" s="104" t="str">
        <f>HYPERLINK("http://codeforces.com/contest/384/problem/A","CF384-D2-A")</f>
        <v>CF384-D2-A</v>
      </c>
      <c r="C163" s="72"/>
      <c r="D163" s="86"/>
      <c r="E163" s="86"/>
      <c r="F163" s="86"/>
      <c r="G163" s="86"/>
      <c r="H163" s="81"/>
      <c r="I163" s="81">
        <f t="shared" si="6"/>
        <v>0</v>
      </c>
      <c r="J163" s="180"/>
      <c r="K163" s="80"/>
      <c r="L163" s="180"/>
      <c r="M163" s="117"/>
    </row>
    <row r="164">
      <c r="A164" s="92" t="s">
        <v>311</v>
      </c>
      <c r="B164" s="181" t="str">
        <f>HYPERLINK("http://codeforces.com/contest/551/problem/A","CF551-D2-A")</f>
        <v>CF551-D2-A</v>
      </c>
      <c r="C164" s="72"/>
      <c r="D164" s="86"/>
      <c r="E164" s="86"/>
      <c r="F164" s="86"/>
      <c r="G164" s="86"/>
      <c r="H164" s="81"/>
      <c r="I164" s="81">
        <f t="shared" si="6"/>
        <v>0</v>
      </c>
      <c r="J164" s="180"/>
      <c r="K164" s="80"/>
      <c r="L164" s="180"/>
      <c r="M164" s="114"/>
    </row>
    <row r="165">
      <c r="A165" s="92"/>
      <c r="B165" s="157"/>
      <c r="C165" s="72"/>
      <c r="D165" s="86"/>
      <c r="E165" s="86"/>
      <c r="F165" s="86"/>
      <c r="G165" s="86"/>
      <c r="H165" s="81"/>
      <c r="I165" s="81">
        <f t="shared" si="6"/>
        <v>0</v>
      </c>
      <c r="J165" s="180"/>
      <c r="K165" s="80"/>
      <c r="L165" s="180"/>
      <c r="M165" s="114"/>
    </row>
    <row r="166">
      <c r="A166" s="103" t="s">
        <v>312</v>
      </c>
      <c r="B166" s="104" t="str">
        <f>HYPERLINK("http://codeforces.com/contest/278/problem/A","CF278-D2-A")</f>
        <v>CF278-D2-A</v>
      </c>
      <c r="C166" s="72"/>
      <c r="D166" s="86"/>
      <c r="E166" s="86"/>
      <c r="F166" s="86"/>
      <c r="G166" s="86"/>
      <c r="H166" s="81"/>
      <c r="I166" s="81">
        <f t="shared" si="6"/>
        <v>0</v>
      </c>
      <c r="J166" s="180"/>
      <c r="K166" s="80"/>
      <c r="L166" s="180"/>
      <c r="M166" s="114"/>
    </row>
    <row r="167">
      <c r="A167" s="92" t="s">
        <v>313</v>
      </c>
      <c r="B167" s="181" t="str">
        <f>HYPERLINK("http://codeforces.com/contest/599/problem/A","CF599-D2-A")</f>
        <v>CF599-D2-A</v>
      </c>
      <c r="C167" s="72"/>
      <c r="D167" s="86"/>
      <c r="E167" s="86"/>
      <c r="F167" s="86"/>
      <c r="G167" s="86"/>
      <c r="H167" s="81"/>
      <c r="I167" s="81">
        <f t="shared" si="6"/>
        <v>0</v>
      </c>
      <c r="J167" s="180"/>
      <c r="K167" s="80"/>
      <c r="L167" s="180"/>
      <c r="M167" s="114"/>
    </row>
    <row r="168">
      <c r="A168" s="92" t="s">
        <v>314</v>
      </c>
      <c r="B168" s="181" t="str">
        <f>HYPERLINK("http://codeforces.com/contest/432/problem/A","CF432-D2-A")</f>
        <v>CF432-D2-A</v>
      </c>
      <c r="C168" s="72"/>
      <c r="D168" s="86"/>
      <c r="E168" s="86"/>
      <c r="F168" s="86"/>
      <c r="G168" s="86"/>
      <c r="H168" s="81"/>
      <c r="I168" s="81">
        <f t="shared" si="6"/>
        <v>0</v>
      </c>
      <c r="J168" s="180"/>
      <c r="K168" s="80"/>
      <c r="L168" s="180"/>
      <c r="M168" s="114"/>
    </row>
    <row r="169">
      <c r="A169" s="92" t="s">
        <v>315</v>
      </c>
      <c r="B169" s="181" t="str">
        <f>HYPERLINK("http://codeforces.com/contest/492/problem/A","CF492-D2-A")</f>
        <v>CF492-D2-A</v>
      </c>
      <c r="C169" s="72"/>
      <c r="D169" s="86"/>
      <c r="E169" s="86"/>
      <c r="F169" s="86"/>
      <c r="G169" s="86"/>
      <c r="H169" s="81"/>
      <c r="I169" s="81">
        <f t="shared" si="6"/>
        <v>0</v>
      </c>
      <c r="J169" s="180"/>
      <c r="K169" s="80"/>
      <c r="L169" s="180"/>
      <c r="M169" s="114"/>
    </row>
    <row r="170">
      <c r="A170" s="103" t="s">
        <v>316</v>
      </c>
      <c r="B170" s="104" t="str">
        <f>HYPERLINK("http://codeforces.com/contest/148/problem/A","CF148-D2-A")</f>
        <v>CF148-D2-A</v>
      </c>
      <c r="C170" s="72"/>
      <c r="D170" s="86"/>
      <c r="E170" s="86"/>
      <c r="F170" s="86"/>
      <c r="G170" s="86"/>
      <c r="H170" s="81"/>
      <c r="I170" s="81">
        <f t="shared" si="6"/>
        <v>0</v>
      </c>
      <c r="J170" s="180"/>
      <c r="K170" s="80"/>
      <c r="L170" s="180"/>
      <c r="M170" s="114"/>
    </row>
    <row r="171">
      <c r="A171" s="92" t="s">
        <v>317</v>
      </c>
      <c r="B171" s="181" t="str">
        <f>HYPERLINK("http://codeforces.com/contest/330/problem/A","CF330-D2-A")</f>
        <v>CF330-D2-A</v>
      </c>
      <c r="C171" s="72"/>
      <c r="D171" s="86"/>
      <c r="E171" s="86"/>
      <c r="F171" s="86"/>
      <c r="G171" s="86"/>
      <c r="H171" s="81"/>
      <c r="I171" s="81">
        <f t="shared" si="6"/>
        <v>0</v>
      </c>
      <c r="J171" s="180"/>
      <c r="K171" s="80"/>
      <c r="L171" s="180"/>
      <c r="M171" s="114"/>
    </row>
    <row r="172">
      <c r="A172" s="103" t="s">
        <v>318</v>
      </c>
      <c r="B172" s="104" t="str">
        <f>HYPERLINK("http://codeforces.com/contest/16/problem/A","CF16-D2-A")</f>
        <v>CF16-D2-A</v>
      </c>
      <c r="C172" s="72"/>
      <c r="D172" s="86"/>
      <c r="E172" s="86"/>
      <c r="F172" s="86"/>
      <c r="G172" s="86"/>
      <c r="H172" s="81"/>
      <c r="I172" s="81">
        <f t="shared" si="6"/>
        <v>0</v>
      </c>
      <c r="J172" s="180"/>
      <c r="K172" s="80"/>
      <c r="L172" s="180"/>
      <c r="M172" s="47"/>
    </row>
    <row r="173">
      <c r="A173" s="92" t="s">
        <v>319</v>
      </c>
      <c r="B173" s="181" t="str">
        <f>HYPERLINK("http://codeforces.com/contest/248/problem/A","CF248-D2-A")</f>
        <v>CF248-D2-A</v>
      </c>
      <c r="C173" s="72"/>
      <c r="D173" s="86"/>
      <c r="E173" s="86"/>
      <c r="F173" s="86"/>
      <c r="G173" s="86"/>
      <c r="H173" s="81"/>
      <c r="I173" s="81">
        <f t="shared" si="6"/>
        <v>0</v>
      </c>
      <c r="J173" s="180"/>
      <c r="K173" s="80"/>
      <c r="L173" s="180"/>
      <c r="M173" s="47"/>
    </row>
    <row r="174">
      <c r="A174" s="92" t="s">
        <v>320</v>
      </c>
      <c r="B174" s="181" t="str">
        <f>HYPERLINK("http://codeforces.com/contest/363/problem/A","CF363-D2-A")</f>
        <v>CF363-D2-A</v>
      </c>
      <c r="C174" s="72"/>
      <c r="D174" s="86"/>
      <c r="E174" s="86"/>
      <c r="F174" s="86"/>
      <c r="G174" s="86"/>
      <c r="H174" s="81"/>
      <c r="I174" s="81">
        <f t="shared" si="6"/>
        <v>0</v>
      </c>
      <c r="J174" s="180"/>
      <c r="K174" s="80"/>
      <c r="L174" s="180"/>
      <c r="M174" s="47"/>
    </row>
    <row r="175">
      <c r="A175" s="92"/>
      <c r="B175" s="157"/>
      <c r="C175" s="72"/>
      <c r="D175" s="86"/>
      <c r="E175" s="86"/>
      <c r="F175" s="86"/>
      <c r="G175" s="86"/>
      <c r="H175" s="81"/>
      <c r="I175" s="81">
        <f t="shared" si="6"/>
        <v>0</v>
      </c>
      <c r="J175" s="180"/>
      <c r="K175" s="80"/>
      <c r="L175" s="180"/>
      <c r="M175" s="47"/>
    </row>
    <row r="176">
      <c r="A176" s="103" t="s">
        <v>321</v>
      </c>
      <c r="B176" s="104" t="str">
        <f>HYPERLINK("http://codeforces.com/contest/141/problem/A","CF141-D2-A")</f>
        <v>CF141-D2-A</v>
      </c>
      <c r="C176" s="72"/>
      <c r="D176" s="86"/>
      <c r="E176" s="86"/>
      <c r="F176" s="86"/>
      <c r="G176" s="86"/>
      <c r="H176" s="81"/>
      <c r="I176" s="81">
        <f t="shared" si="6"/>
        <v>0</v>
      </c>
      <c r="J176" s="180"/>
      <c r="K176" s="80"/>
      <c r="L176" s="180"/>
      <c r="M176" s="47"/>
    </row>
    <row r="177">
      <c r="A177" s="92" t="s">
        <v>322</v>
      </c>
      <c r="B177" s="181" t="str">
        <f>HYPERLINK("http://codeforces.com/contest/275/problem/A","CF275-D2-A")</f>
        <v>CF275-D2-A</v>
      </c>
      <c r="C177" s="72"/>
      <c r="D177" s="86"/>
      <c r="E177" s="86"/>
      <c r="F177" s="86"/>
      <c r="G177" s="86"/>
      <c r="H177" s="81"/>
      <c r="I177" s="81">
        <f t="shared" si="6"/>
        <v>0</v>
      </c>
      <c r="J177" s="180"/>
      <c r="K177" s="80"/>
      <c r="L177" s="180"/>
      <c r="M177" s="47"/>
    </row>
    <row r="178">
      <c r="A178" s="92" t="s">
        <v>323</v>
      </c>
      <c r="B178" s="181" t="str">
        <f>HYPERLINK("http://codeforces.com/contest/276/problem/A","CF276-D2-A")</f>
        <v>CF276-D2-A</v>
      </c>
      <c r="C178" s="72"/>
      <c r="D178" s="86"/>
      <c r="E178" s="86"/>
      <c r="F178" s="86"/>
      <c r="G178" s="86"/>
      <c r="H178" s="81"/>
      <c r="I178" s="81">
        <f t="shared" si="6"/>
        <v>0</v>
      </c>
      <c r="J178" s="180"/>
      <c r="K178" s="80"/>
      <c r="L178" s="180"/>
      <c r="M178" s="114"/>
    </row>
    <row r="179">
      <c r="A179" s="92" t="s">
        <v>324</v>
      </c>
      <c r="B179" s="181" t="str">
        <f>HYPERLINK("http://codeforces.com/contest/588/problem/A","CF588-D2-A")</f>
        <v>CF588-D2-A</v>
      </c>
      <c r="C179" s="72"/>
      <c r="D179" s="86"/>
      <c r="E179" s="86"/>
      <c r="F179" s="86"/>
      <c r="G179" s="86"/>
      <c r="H179" s="81"/>
      <c r="I179" s="81">
        <f t="shared" si="6"/>
        <v>0</v>
      </c>
      <c r="J179" s="180"/>
      <c r="K179" s="80"/>
      <c r="L179" s="180"/>
      <c r="M179" s="114"/>
    </row>
    <row r="180">
      <c r="A180" s="92" t="s">
        <v>325</v>
      </c>
      <c r="B180" s="181" t="str">
        <f>HYPERLINK("http://codeforces.com/contest/401/problem/A","CF401-D2-A")</f>
        <v>CF401-D2-A</v>
      </c>
      <c r="C180" s="72"/>
      <c r="D180" s="86"/>
      <c r="E180" s="86"/>
      <c r="F180" s="86"/>
      <c r="G180" s="86"/>
      <c r="H180" s="81"/>
      <c r="I180" s="81">
        <f t="shared" si="6"/>
        <v>0</v>
      </c>
      <c r="J180" s="180"/>
      <c r="K180" s="80"/>
      <c r="L180" s="180"/>
      <c r="M180" s="114"/>
    </row>
    <row r="181">
      <c r="A181" s="92" t="s">
        <v>326</v>
      </c>
      <c r="B181" s="181" t="str">
        <f>HYPERLINK("http://codeforces.com/contest/424/problem/A","CF424-D2-A")</f>
        <v>CF424-D2-A</v>
      </c>
      <c r="C181" s="72"/>
      <c r="D181" s="86"/>
      <c r="E181" s="86"/>
      <c r="F181" s="86"/>
      <c r="G181" s="86"/>
      <c r="H181" s="81"/>
      <c r="I181" s="81">
        <f t="shared" si="6"/>
        <v>0</v>
      </c>
      <c r="J181" s="180"/>
      <c r="K181" s="80"/>
      <c r="L181" s="180"/>
      <c r="M181" s="114"/>
    </row>
    <row r="182">
      <c r="A182" s="92" t="s">
        <v>327</v>
      </c>
      <c r="B182" s="181" t="str">
        <f>HYPERLINK("http://codeforces.com/contest/144/problem/A","CF144-D2-A")</f>
        <v>CF144-D2-A</v>
      </c>
      <c r="C182" s="72"/>
      <c r="D182" s="86"/>
      <c r="E182" s="86"/>
      <c r="F182" s="86"/>
      <c r="G182" s="86"/>
      <c r="H182" s="81"/>
      <c r="I182" s="81">
        <f t="shared" si="6"/>
        <v>0</v>
      </c>
      <c r="J182" s="180"/>
      <c r="K182" s="80"/>
      <c r="L182" s="180"/>
      <c r="M182" s="114"/>
    </row>
    <row r="183">
      <c r="A183" s="92" t="s">
        <v>328</v>
      </c>
      <c r="B183" s="181" t="str">
        <f>HYPERLINK("http://codeforces.com/contest/63/problem/A","CF63-D2-A")</f>
        <v>CF63-D2-A</v>
      </c>
      <c r="C183" s="72"/>
      <c r="D183" s="86"/>
      <c r="E183" s="86"/>
      <c r="F183" s="86"/>
      <c r="G183" s="86"/>
      <c r="H183" s="81"/>
      <c r="I183" s="81">
        <f t="shared" si="6"/>
        <v>0</v>
      </c>
      <c r="J183" s="180"/>
      <c r="K183" s="80"/>
      <c r="L183" s="180"/>
      <c r="M183" s="114"/>
    </row>
    <row r="184">
      <c r="A184" s="92" t="s">
        <v>329</v>
      </c>
      <c r="B184" s="181" t="str">
        <f>HYPERLINK("http://codeforces.com/contest/202/problem/A","CF202-D2-A")</f>
        <v>CF202-D2-A</v>
      </c>
      <c r="C184" s="72"/>
      <c r="D184" s="86"/>
      <c r="E184" s="86"/>
      <c r="F184" s="86"/>
      <c r="G184" s="86"/>
      <c r="H184" s="81"/>
      <c r="I184" s="81">
        <f t="shared" si="6"/>
        <v>0</v>
      </c>
      <c r="J184" s="180"/>
      <c r="K184" s="80"/>
      <c r="L184" s="180"/>
      <c r="M184" s="114"/>
    </row>
    <row r="185">
      <c r="A185" s="92" t="s">
        <v>330</v>
      </c>
      <c r="B185" s="181" t="str">
        <f>HYPERLINK("http://codeforces.com/contest/334/problem/A","CF334-D2-A")</f>
        <v>CF334-D2-A</v>
      </c>
      <c r="C185" s="72"/>
      <c r="D185" s="86"/>
      <c r="E185" s="86"/>
      <c r="F185" s="86"/>
      <c r="G185" s="86"/>
      <c r="H185" s="81"/>
      <c r="I185" s="81">
        <f t="shared" si="6"/>
        <v>0</v>
      </c>
      <c r="J185" s="180"/>
      <c r="K185" s="80"/>
      <c r="L185" s="180"/>
      <c r="M185" s="114"/>
    </row>
    <row r="186">
      <c r="A186" s="92"/>
      <c r="B186" s="157"/>
      <c r="C186" s="72"/>
      <c r="D186" s="86"/>
      <c r="E186" s="86"/>
      <c r="F186" s="86"/>
      <c r="G186" s="86"/>
      <c r="H186" s="81"/>
      <c r="I186" s="81">
        <f t="shared" si="6"/>
        <v>0</v>
      </c>
      <c r="J186" s="180"/>
      <c r="K186" s="80"/>
      <c r="L186" s="180"/>
      <c r="M186" s="114"/>
    </row>
    <row r="187">
      <c r="A187" s="110" t="s">
        <v>331</v>
      </c>
      <c r="B187" s="111" t="str">
        <f>HYPERLINK("http://codeforces.com/contest/451/problem/A","CF451-D2-A")</f>
        <v>CF451-D2-A</v>
      </c>
      <c r="C187" s="72"/>
      <c r="D187" s="86"/>
      <c r="E187" s="86"/>
      <c r="F187" s="86"/>
      <c r="G187" s="86"/>
      <c r="H187" s="81"/>
      <c r="I187" s="81">
        <f t="shared" si="6"/>
        <v>0</v>
      </c>
      <c r="J187" s="180"/>
      <c r="K187" s="80"/>
      <c r="L187" s="180"/>
      <c r="M187" s="114"/>
    </row>
    <row r="188">
      <c r="A188" s="110" t="s">
        <v>332</v>
      </c>
      <c r="B188" s="111" t="str">
        <f>HYPERLINK("http://codeforces.com/contest/460/problem/A","CF460-D2-A")</f>
        <v>CF460-D2-A</v>
      </c>
      <c r="C188" s="72"/>
      <c r="D188" s="86"/>
      <c r="E188" s="86"/>
      <c r="F188" s="86"/>
      <c r="G188" s="86"/>
      <c r="H188" s="81"/>
      <c r="I188" s="81">
        <f t="shared" si="6"/>
        <v>0</v>
      </c>
      <c r="J188" s="180"/>
      <c r="K188" s="80"/>
      <c r="L188" s="180"/>
      <c r="M188" s="114"/>
    </row>
    <row r="189">
      <c r="A189" s="92" t="s">
        <v>333</v>
      </c>
      <c r="B189" s="181" t="str">
        <f>HYPERLINK("http://codeforces.com/contest/272/problem/A","CF272-D2-A")</f>
        <v>CF272-D2-A</v>
      </c>
      <c r="C189" s="72"/>
      <c r="D189" s="86"/>
      <c r="E189" s="86"/>
      <c r="F189" s="86"/>
      <c r="G189" s="86"/>
      <c r="H189" s="81"/>
      <c r="I189" s="81">
        <f t="shared" si="6"/>
        <v>0</v>
      </c>
      <c r="J189" s="180"/>
      <c r="K189" s="80"/>
      <c r="L189" s="180"/>
      <c r="M189" s="114"/>
    </row>
    <row r="190">
      <c r="A190" s="92" t="s">
        <v>334</v>
      </c>
      <c r="B190" s="181" t="str">
        <f>HYPERLINK("http://codeforces.com/contest/676/problem/A","CF676-D2-A")</f>
        <v>CF676-D2-A</v>
      </c>
      <c r="C190" s="72"/>
      <c r="D190" s="86"/>
      <c r="E190" s="86"/>
      <c r="F190" s="86"/>
      <c r="G190" s="86"/>
      <c r="H190" s="81"/>
      <c r="I190" s="81">
        <f t="shared" si="6"/>
        <v>0</v>
      </c>
      <c r="J190" s="180"/>
      <c r="K190" s="80"/>
      <c r="L190" s="180"/>
      <c r="M190" s="114"/>
    </row>
    <row r="191">
      <c r="A191" s="110" t="s">
        <v>335</v>
      </c>
      <c r="B191" s="111" t="str">
        <f>HYPERLINK("http://codeforces.com/contest/545/problem/A","CF545-D2-A")</f>
        <v>CF545-D2-A</v>
      </c>
      <c r="C191" s="72"/>
      <c r="D191" s="86"/>
      <c r="E191" s="86"/>
      <c r="F191" s="86"/>
      <c r="G191" s="86"/>
      <c r="H191" s="81"/>
      <c r="I191" s="81">
        <f t="shared" si="6"/>
        <v>0</v>
      </c>
      <c r="J191" s="180"/>
      <c r="K191" s="80"/>
      <c r="L191" s="180"/>
      <c r="M191" s="114"/>
    </row>
    <row r="192">
      <c r="A192" s="92" t="s">
        <v>336</v>
      </c>
      <c r="B192" s="181" t="str">
        <f>HYPERLINK("http://codeforces.com/contest/447/problem/A","CF447-D2-A")</f>
        <v>CF447-D2-A</v>
      </c>
      <c r="C192" s="72"/>
      <c r="D192" s="86"/>
      <c r="E192" s="86"/>
      <c r="F192" s="86"/>
      <c r="G192" s="86"/>
      <c r="H192" s="81"/>
      <c r="I192" s="81">
        <f t="shared" si="6"/>
        <v>0</v>
      </c>
      <c r="J192" s="180"/>
      <c r="K192" s="80"/>
      <c r="L192" s="180"/>
      <c r="M192" s="114"/>
    </row>
    <row r="193">
      <c r="A193" s="110" t="s">
        <v>337</v>
      </c>
      <c r="B193" s="111" t="str">
        <f>HYPERLINK("http://codeforces.com/contest/133/problem/A","CF133-D2-A")</f>
        <v>CF133-D2-A</v>
      </c>
      <c r="C193" s="72"/>
      <c r="D193" s="86"/>
      <c r="E193" s="86"/>
      <c r="F193" s="86"/>
      <c r="G193" s="86"/>
      <c r="H193" s="81"/>
      <c r="I193" s="81">
        <f t="shared" si="6"/>
        <v>0</v>
      </c>
      <c r="J193" s="180"/>
      <c r="K193" s="80"/>
      <c r="L193" s="180"/>
      <c r="M193" s="114"/>
    </row>
    <row r="194">
      <c r="A194" s="110" t="s">
        <v>338</v>
      </c>
      <c r="B194" s="111" t="str">
        <f>HYPERLINK("http://codeforces.com/contest/670/problem/A","CF670-D2-A")</f>
        <v>CF670-D2-A</v>
      </c>
      <c r="C194" s="72"/>
      <c r="D194" s="86"/>
      <c r="E194" s="86"/>
      <c r="F194" s="86"/>
      <c r="G194" s="86"/>
      <c r="H194" s="81"/>
      <c r="I194" s="81">
        <f t="shared" si="6"/>
        <v>0</v>
      </c>
      <c r="J194" s="180"/>
      <c r="K194" s="80"/>
      <c r="L194" s="180"/>
      <c r="M194" s="114"/>
    </row>
    <row r="195">
      <c r="A195" s="92" t="s">
        <v>339</v>
      </c>
      <c r="B195" s="181" t="str">
        <f>HYPERLINK("http://codeforces.com/contest/244/problem/A","CF244-D2-A")</f>
        <v>CF244-D2-A</v>
      </c>
      <c r="C195" s="72"/>
      <c r="D195" s="86"/>
      <c r="E195" s="86"/>
      <c r="F195" s="86"/>
      <c r="G195" s="86"/>
      <c r="H195" s="81"/>
      <c r="I195" s="81">
        <f t="shared" si="6"/>
        <v>0</v>
      </c>
      <c r="J195" s="180"/>
      <c r="K195" s="80"/>
      <c r="L195" s="180"/>
      <c r="M195" s="114"/>
    </row>
    <row r="196">
      <c r="A196" s="110" t="s">
        <v>340</v>
      </c>
      <c r="B196" s="111" t="str">
        <f>HYPERLINK("http://codeforces.com/contest/78/problem/A","CF78-D2-A")</f>
        <v>CF78-D2-A</v>
      </c>
      <c r="C196" s="72"/>
      <c r="D196" s="86"/>
      <c r="E196" s="86"/>
      <c r="F196" s="86"/>
      <c r="G196" s="86"/>
      <c r="H196" s="81"/>
      <c r="I196" s="81">
        <f t="shared" si="6"/>
        <v>0</v>
      </c>
      <c r="J196" s="180"/>
      <c r="K196" s="80"/>
      <c r="L196" s="180"/>
      <c r="M196" s="114"/>
    </row>
    <row r="197">
      <c r="A197" s="110"/>
      <c r="B197" s="111"/>
      <c r="C197" s="72"/>
      <c r="D197" s="86"/>
      <c r="E197" s="86"/>
      <c r="F197" s="86"/>
      <c r="G197" s="86"/>
      <c r="H197" s="81"/>
      <c r="I197" s="81">
        <f t="shared" si="6"/>
        <v>0</v>
      </c>
      <c r="J197" s="180"/>
      <c r="K197" s="80"/>
      <c r="L197" s="180"/>
      <c r="M197" s="114"/>
    </row>
    <row r="198">
      <c r="A198" s="92" t="s">
        <v>341</v>
      </c>
      <c r="B198" s="181" t="str">
        <f>HYPERLINK("http://codeforces.com/contest/214/problem/A","CF214-D2-A")</f>
        <v>CF214-D2-A</v>
      </c>
      <c r="C198" s="72"/>
      <c r="D198" s="86"/>
      <c r="E198" s="86"/>
      <c r="F198" s="86"/>
      <c r="G198" s="86"/>
      <c r="H198" s="81"/>
      <c r="I198" s="81">
        <f t="shared" si="6"/>
        <v>0</v>
      </c>
      <c r="J198" s="180"/>
      <c r="K198" s="80"/>
      <c r="L198" s="180"/>
      <c r="M198" s="114"/>
    </row>
    <row r="199">
      <c r="A199" s="110" t="s">
        <v>342</v>
      </c>
      <c r="B199" s="111" t="str">
        <f>HYPERLINK("http://codeforces.com/contest/25/problem/A","CF25-D2-A")</f>
        <v>CF25-D2-A</v>
      </c>
      <c r="C199" s="72"/>
      <c r="D199" s="86"/>
      <c r="E199" s="86"/>
      <c r="F199" s="86"/>
      <c r="G199" s="86"/>
      <c r="H199" s="81"/>
      <c r="I199" s="81">
        <f t="shared" si="6"/>
        <v>0</v>
      </c>
      <c r="J199" s="180"/>
      <c r="K199" s="80"/>
      <c r="L199" s="180"/>
      <c r="M199" s="114"/>
    </row>
    <row r="200">
      <c r="A200" s="92" t="s">
        <v>343</v>
      </c>
      <c r="B200" s="181" t="str">
        <f>HYPERLINK("http://codeforces.com/contest/501/problem/A","CF501-D2-A")</f>
        <v>CF501-D2-A</v>
      </c>
      <c r="C200" s="72"/>
      <c r="D200" s="86"/>
      <c r="E200" s="86"/>
      <c r="F200" s="86"/>
      <c r="G200" s="86"/>
      <c r="H200" s="81"/>
      <c r="I200" s="81">
        <f t="shared" si="6"/>
        <v>0</v>
      </c>
      <c r="J200" s="180"/>
      <c r="K200" s="80"/>
      <c r="L200" s="180"/>
      <c r="M200" s="114"/>
    </row>
    <row r="201">
      <c r="A201" s="110" t="s">
        <v>344</v>
      </c>
      <c r="B201" s="111" t="str">
        <f>HYPERLINK("http://codeforces.com/contest/94/problem/A","CF94-D2-A")</f>
        <v>CF94-D2-A</v>
      </c>
      <c r="C201" s="72"/>
      <c r="D201" s="86"/>
      <c r="E201" s="86"/>
      <c r="F201" s="86"/>
      <c r="G201" s="86"/>
      <c r="H201" s="81"/>
      <c r="I201" s="81">
        <f t="shared" si="6"/>
        <v>0</v>
      </c>
      <c r="J201" s="180"/>
      <c r="K201" s="80"/>
      <c r="L201" s="180"/>
      <c r="M201" s="114"/>
    </row>
    <row r="202">
      <c r="A202" s="92" t="s">
        <v>345</v>
      </c>
      <c r="B202" s="181" t="str">
        <f>HYPERLINK("http://codeforces.com/contest/369/problem/A","CF369-D2-A")</f>
        <v>CF369-D2-A</v>
      </c>
      <c r="C202" s="72"/>
      <c r="D202" s="86"/>
      <c r="E202" s="86"/>
      <c r="F202" s="86"/>
      <c r="G202" s="86"/>
      <c r="H202" s="81"/>
      <c r="I202" s="81">
        <f t="shared" si="6"/>
        <v>0</v>
      </c>
      <c r="J202" s="180"/>
      <c r="K202" s="80"/>
      <c r="L202" s="180"/>
      <c r="M202" s="114"/>
    </row>
    <row r="203">
      <c r="A203" s="110" t="s">
        <v>346</v>
      </c>
      <c r="B203" s="111" t="str">
        <f>HYPERLINK("http://codeforces.com/contest/496/problem/A","CF496-D2-A")</f>
        <v>CF496-D2-A</v>
      </c>
      <c r="C203" s="72"/>
      <c r="D203" s="86"/>
      <c r="E203" s="86"/>
      <c r="F203" s="86"/>
      <c r="G203" s="86"/>
      <c r="H203" s="81"/>
      <c r="I203" s="81">
        <f t="shared" si="6"/>
        <v>0</v>
      </c>
      <c r="J203" s="180"/>
      <c r="K203" s="80"/>
      <c r="L203" s="180"/>
      <c r="M203" s="114"/>
    </row>
    <row r="204">
      <c r="A204" s="92" t="s">
        <v>347</v>
      </c>
      <c r="B204" s="181" t="str">
        <f>HYPERLINK("http://codeforces.com/contest/221/problem/A","CF221-D2-A")</f>
        <v>CF221-D2-A</v>
      </c>
      <c r="C204" s="72"/>
      <c r="D204" s="86"/>
      <c r="E204" s="86"/>
      <c r="F204" s="86"/>
      <c r="G204" s="86"/>
      <c r="H204" s="81"/>
      <c r="I204" s="81">
        <f t="shared" si="6"/>
        <v>0</v>
      </c>
      <c r="J204" s="180"/>
      <c r="K204" s="80"/>
      <c r="L204" s="180"/>
      <c r="M204" s="114"/>
    </row>
    <row r="205">
      <c r="A205" s="92" t="s">
        <v>348</v>
      </c>
      <c r="B205" s="181" t="str">
        <f>HYPERLINK("http://codeforces.com/contest/373/problem/A","CF373-D2-A")</f>
        <v>CF373-D2-A</v>
      </c>
      <c r="C205" s="72"/>
      <c r="D205" s="86"/>
      <c r="E205" s="86"/>
      <c r="F205" s="86"/>
      <c r="G205" s="86"/>
      <c r="H205" s="81"/>
      <c r="I205" s="81">
        <f t="shared" si="6"/>
        <v>0</v>
      </c>
      <c r="J205" s="180"/>
      <c r="K205" s="80"/>
      <c r="L205" s="180"/>
      <c r="M205" s="114"/>
    </row>
    <row r="206">
      <c r="A206" s="92" t="s">
        <v>349</v>
      </c>
      <c r="B206" s="181" t="str">
        <f>HYPERLINK("http://codeforces.com/contest/14/problem/A","CF14-D2-A")</f>
        <v>CF14-D2-A</v>
      </c>
      <c r="C206" s="72"/>
      <c r="D206" s="86"/>
      <c r="E206" s="86"/>
      <c r="F206" s="86"/>
      <c r="G206" s="86"/>
      <c r="H206" s="81"/>
      <c r="I206" s="81">
        <f t="shared" si="6"/>
        <v>0</v>
      </c>
      <c r="J206" s="180"/>
      <c r="K206" s="80"/>
      <c r="L206" s="180"/>
      <c r="M206" s="114"/>
    </row>
    <row r="207">
      <c r="A207" s="92" t="s">
        <v>350</v>
      </c>
      <c r="B207" s="181" t="str">
        <f>HYPERLINK("http://codeforces.com/contest/580/problem/A","CF580-D2-A")</f>
        <v>CF580-D2-A</v>
      </c>
      <c r="C207" s="72"/>
      <c r="D207" s="86"/>
      <c r="E207" s="86"/>
      <c r="F207" s="86"/>
      <c r="G207" s="86"/>
      <c r="H207" s="81"/>
      <c r="I207" s="81">
        <f t="shared" si="6"/>
        <v>0</v>
      </c>
      <c r="J207" s="180"/>
      <c r="K207" s="80"/>
      <c r="L207" s="180"/>
      <c r="M207" s="114"/>
    </row>
    <row r="208">
      <c r="A208" s="92"/>
      <c r="B208" s="157"/>
      <c r="C208" s="72"/>
      <c r="D208" s="86"/>
      <c r="E208" s="86"/>
      <c r="F208" s="86"/>
      <c r="G208" s="86"/>
      <c r="H208" s="81"/>
      <c r="I208" s="81">
        <f t="shared" si="6"/>
        <v>0</v>
      </c>
      <c r="J208" s="180"/>
      <c r="K208" s="80"/>
      <c r="L208" s="180"/>
      <c r="M208" s="114"/>
    </row>
    <row r="209">
      <c r="A209" s="92" t="s">
        <v>351</v>
      </c>
      <c r="B209" s="181" t="str">
        <f>HYPERLINK("http://codeforces.com/contest/313/problem/A","CF313-D2-A")</f>
        <v>CF313-D2-A</v>
      </c>
      <c r="C209" s="72"/>
      <c r="D209" s="86"/>
      <c r="E209" s="86"/>
      <c r="F209" s="86"/>
      <c r="G209" s="86"/>
      <c r="H209" s="81"/>
      <c r="I209" s="81">
        <f t="shared" si="6"/>
        <v>0</v>
      </c>
      <c r="J209" s="180"/>
      <c r="K209" s="80"/>
      <c r="L209" s="180"/>
      <c r="M209" s="114"/>
    </row>
    <row r="210">
      <c r="A210" s="92" t="s">
        <v>352</v>
      </c>
      <c r="B210" s="181" t="str">
        <f>HYPERLINK("http://codeforces.com/contest/604/problem/A","CF604-D2-A")</f>
        <v>CF604-D2-A</v>
      </c>
      <c r="C210" s="72"/>
      <c r="D210" s="86"/>
      <c r="E210" s="86"/>
      <c r="F210" s="86"/>
      <c r="G210" s="86"/>
      <c r="H210" s="81"/>
      <c r="I210" s="81">
        <f t="shared" si="6"/>
        <v>0</v>
      </c>
      <c r="J210" s="180"/>
      <c r="K210" s="80"/>
      <c r="L210" s="180"/>
      <c r="M210" s="114"/>
    </row>
    <row r="211">
      <c r="A211" s="92" t="s">
        <v>353</v>
      </c>
      <c r="B211" s="181" t="str">
        <f>HYPERLINK("http://codeforces.com/contest/34/problem/A","CF34-D2-A")</f>
        <v>CF34-D2-A</v>
      </c>
      <c r="C211" s="72"/>
      <c r="D211" s="86"/>
      <c r="E211" s="86"/>
      <c r="F211" s="86"/>
      <c r="G211" s="86"/>
      <c r="H211" s="81"/>
      <c r="I211" s="81">
        <f t="shared" si="6"/>
        <v>0</v>
      </c>
      <c r="J211" s="180"/>
      <c r="K211" s="80"/>
      <c r="L211" s="180"/>
      <c r="M211" s="114"/>
    </row>
    <row r="212">
      <c r="A212" s="92" t="s">
        <v>354</v>
      </c>
      <c r="B212" s="181" t="str">
        <f>HYPERLINK("http://codeforces.com/contest/146/problem/A","CF146-D2-A")</f>
        <v>CF146-D2-A</v>
      </c>
      <c r="C212" s="72"/>
      <c r="D212" s="86"/>
      <c r="E212" s="86"/>
      <c r="F212" s="86"/>
      <c r="G212" s="86"/>
      <c r="H212" s="81"/>
      <c r="I212" s="81">
        <f t="shared" si="6"/>
        <v>0</v>
      </c>
      <c r="J212" s="180"/>
      <c r="K212" s="80"/>
      <c r="L212" s="180"/>
      <c r="M212" s="114"/>
    </row>
    <row r="213">
      <c r="A213" s="92" t="s">
        <v>355</v>
      </c>
      <c r="B213" s="181" t="str">
        <f>HYPERLINK("http://codeforces.com/contest/58/problem/A","CF58-D2-A")</f>
        <v>CF58-D2-A</v>
      </c>
      <c r="C213" s="72"/>
      <c r="D213" s="86"/>
      <c r="E213" s="86"/>
      <c r="F213" s="86"/>
      <c r="G213" s="86"/>
      <c r="H213" s="81"/>
      <c r="I213" s="81">
        <f t="shared" si="6"/>
        <v>0</v>
      </c>
      <c r="J213" s="180"/>
      <c r="K213" s="80"/>
      <c r="L213" s="180"/>
      <c r="M213" s="114"/>
    </row>
    <row r="214">
      <c r="A214" s="92" t="s">
        <v>356</v>
      </c>
      <c r="B214" s="181" t="str">
        <f>HYPERLINK("http://codeforces.com/contest/387/problem/A","CF387-D2-A")</f>
        <v>CF387-D2-A</v>
      </c>
      <c r="C214" s="72"/>
      <c r="D214" s="86"/>
      <c r="E214" s="86"/>
      <c r="F214" s="86"/>
      <c r="G214" s="86"/>
      <c r="H214" s="81"/>
      <c r="I214" s="81">
        <f t="shared" si="6"/>
        <v>0</v>
      </c>
      <c r="J214" s="180"/>
      <c r="K214" s="80"/>
      <c r="L214" s="180"/>
      <c r="M214" s="114"/>
    </row>
    <row r="215">
      <c r="A215" s="92" t="s">
        <v>357</v>
      </c>
      <c r="B215" s="181" t="str">
        <f>HYPERLINK("http://codeforces.com/contest/735/problem/A","CF735-D2-A")</f>
        <v>CF735-D2-A</v>
      </c>
      <c r="C215" s="72"/>
      <c r="D215" s="86"/>
      <c r="E215" s="86"/>
      <c r="F215" s="86"/>
      <c r="G215" s="86"/>
      <c r="H215" s="81"/>
      <c r="I215" s="81">
        <f t="shared" si="6"/>
        <v>0</v>
      </c>
      <c r="J215" s="180"/>
      <c r="K215" s="80"/>
      <c r="L215" s="180"/>
      <c r="M215" s="114"/>
    </row>
    <row r="216">
      <c r="A216" s="110" t="s">
        <v>358</v>
      </c>
      <c r="B216" s="111" t="str">
        <f>HYPERLINK("http://codeforces.com/contest/124/problem/A","CF124-D2-A")</f>
        <v>CF124-D2-A</v>
      </c>
      <c r="C216" s="72"/>
      <c r="D216" s="86"/>
      <c r="E216" s="86"/>
      <c r="F216" s="86"/>
      <c r="G216" s="86"/>
      <c r="H216" s="81"/>
      <c r="I216" s="81">
        <f t="shared" si="6"/>
        <v>0</v>
      </c>
      <c r="J216" s="180"/>
      <c r="K216" s="80"/>
      <c r="L216" s="180"/>
      <c r="M216" s="114"/>
    </row>
    <row r="217">
      <c r="A217" s="92" t="s">
        <v>359</v>
      </c>
      <c r="B217" s="181" t="str">
        <f>HYPERLINK("http://codeforces.com/contest/359/problem/A","CF359-D2-A")</f>
        <v>CF359-D2-A</v>
      </c>
      <c r="C217" s="72"/>
      <c r="D217" s="86"/>
      <c r="E217" s="86"/>
      <c r="F217" s="86"/>
      <c r="G217" s="86"/>
      <c r="H217" s="81"/>
      <c r="I217" s="81">
        <f t="shared" si="6"/>
        <v>0</v>
      </c>
      <c r="J217" s="180"/>
      <c r="K217" s="80"/>
      <c r="L217" s="180"/>
      <c r="M217" s="114"/>
    </row>
    <row r="218">
      <c r="A218" s="92" t="s">
        <v>360</v>
      </c>
      <c r="B218" s="181" t="str">
        <f>HYPERLINK("http://codeforces.com/contest/535/problem/A","CF535-D2-A")</f>
        <v>CF535-D2-A</v>
      </c>
      <c r="C218" s="72"/>
      <c r="D218" s="86"/>
      <c r="E218" s="86"/>
      <c r="F218" s="86"/>
      <c r="G218" s="86"/>
      <c r="H218" s="81"/>
      <c r="I218" s="81">
        <f t="shared" si="6"/>
        <v>0</v>
      </c>
      <c r="J218" s="180"/>
      <c r="K218" s="80"/>
      <c r="L218" s="180"/>
      <c r="M218" s="114"/>
    </row>
    <row r="219">
      <c r="A219" s="92"/>
      <c r="B219" s="157"/>
      <c r="C219" s="72"/>
      <c r="D219" s="86"/>
      <c r="E219" s="86"/>
      <c r="F219" s="86"/>
      <c r="G219" s="86"/>
      <c r="H219" s="81"/>
      <c r="I219" s="81">
        <f t="shared" si="6"/>
        <v>0</v>
      </c>
      <c r="J219" s="180"/>
      <c r="K219" s="80"/>
      <c r="L219" s="180"/>
      <c r="M219" s="114"/>
    </row>
    <row r="220">
      <c r="A220" s="92" t="s">
        <v>361</v>
      </c>
      <c r="B220" s="181" t="str">
        <f>HYPERLINK("http://codeforces.com/contest/4/problem/A","CF4-D2-A")</f>
        <v>CF4-D2-A</v>
      </c>
      <c r="C220" s="72"/>
      <c r="D220" s="86"/>
      <c r="E220" s="86"/>
      <c r="F220" s="86"/>
      <c r="G220" s="86"/>
      <c r="H220" s="81"/>
      <c r="I220" s="81">
        <f t="shared" si="6"/>
        <v>0</v>
      </c>
      <c r="J220" s="180"/>
      <c r="K220" s="80"/>
      <c r="L220" s="180"/>
      <c r="M220" s="114"/>
    </row>
    <row r="221">
      <c r="A221" s="92" t="s">
        <v>362</v>
      </c>
      <c r="B221" s="181" t="str">
        <f>HYPERLINK("http://codeforces.com/contest/195/problem/A","CF195-D2-A")</f>
        <v>CF195-D2-A</v>
      </c>
      <c r="C221" s="72"/>
      <c r="D221" s="86"/>
      <c r="E221" s="86"/>
      <c r="F221" s="86"/>
      <c r="G221" s="86"/>
      <c r="H221" s="81"/>
      <c r="I221" s="81">
        <f t="shared" si="6"/>
        <v>0</v>
      </c>
      <c r="J221" s="180"/>
      <c r="K221" s="80"/>
      <c r="L221" s="180"/>
      <c r="M221" s="114"/>
    </row>
    <row r="222">
      <c r="A222" s="92" t="s">
        <v>363</v>
      </c>
      <c r="B222" s="181" t="str">
        <f>HYPERLINK("http://codeforces.com/contest/478/problem/A","CF478-D2-A")</f>
        <v>CF478-D2-A</v>
      </c>
      <c r="C222" s="72"/>
      <c r="D222" s="86"/>
      <c r="E222" s="86"/>
      <c r="F222" s="86"/>
      <c r="G222" s="86"/>
      <c r="H222" s="81"/>
      <c r="I222" s="81">
        <f t="shared" si="6"/>
        <v>0</v>
      </c>
      <c r="J222" s="180"/>
      <c r="K222" s="80"/>
      <c r="L222" s="180"/>
      <c r="M222" s="114"/>
    </row>
    <row r="223">
      <c r="A223" s="92" t="s">
        <v>364</v>
      </c>
      <c r="B223" s="181" t="str">
        <f>HYPERLINK("http://codeforces.com/contest/608/problem/A","CF608-D2-A")</f>
        <v>CF608-D2-A</v>
      </c>
      <c r="C223" s="72"/>
      <c r="D223" s="86"/>
      <c r="E223" s="86"/>
      <c r="F223" s="86"/>
      <c r="G223" s="86"/>
      <c r="H223" s="81"/>
      <c r="I223" s="81">
        <f t="shared" si="6"/>
        <v>0</v>
      </c>
      <c r="J223" s="180"/>
      <c r="K223" s="80"/>
      <c r="L223" s="180"/>
      <c r="M223" s="114"/>
    </row>
    <row r="224">
      <c r="A224" s="92" t="s">
        <v>365</v>
      </c>
      <c r="B224" s="181" t="str">
        <f>HYPERLINK("http://codeforces.com/contest/435/problem/A","CF435-D2-A")</f>
        <v>CF435-D2-A</v>
      </c>
      <c r="C224" s="72"/>
      <c r="D224" s="86"/>
      <c r="E224" s="86"/>
      <c r="F224" s="86"/>
      <c r="G224" s="86"/>
      <c r="H224" s="81"/>
      <c r="I224" s="81">
        <f t="shared" si="6"/>
        <v>0</v>
      </c>
      <c r="J224" s="180"/>
      <c r="K224" s="80"/>
      <c r="L224" s="180"/>
      <c r="M224" s="114"/>
    </row>
    <row r="225">
      <c r="A225" s="92" t="s">
        <v>366</v>
      </c>
      <c r="B225" s="181" t="str">
        <f>HYPERLINK("http://codeforces.com/contest/215/problem/A","CF215-D2-A")</f>
        <v>CF215-D2-A</v>
      </c>
      <c r="C225" s="72"/>
      <c r="D225" s="86"/>
      <c r="E225" s="86"/>
      <c r="F225" s="86"/>
      <c r="G225" s="86"/>
      <c r="H225" s="81"/>
      <c r="I225" s="81">
        <f t="shared" si="6"/>
        <v>0</v>
      </c>
      <c r="J225" s="180"/>
      <c r="K225" s="80"/>
      <c r="L225" s="180"/>
      <c r="M225" s="114"/>
    </row>
    <row r="226">
      <c r="A226" s="92" t="s">
        <v>367</v>
      </c>
      <c r="B226" s="181" t="str">
        <f>HYPERLINK("http://codeforces.com/contest/205/problem/A","CF205-D2-A")</f>
        <v>CF205-D2-A</v>
      </c>
      <c r="C226" s="72"/>
      <c r="D226" s="86"/>
      <c r="E226" s="86"/>
      <c r="F226" s="86"/>
      <c r="G226" s="86"/>
      <c r="H226" s="81"/>
      <c r="I226" s="81">
        <f t="shared" si="6"/>
        <v>0</v>
      </c>
      <c r="J226" s="180"/>
      <c r="K226" s="80"/>
      <c r="L226" s="180"/>
      <c r="M226" s="114"/>
    </row>
    <row r="227">
      <c r="A227" s="92" t="s">
        <v>368</v>
      </c>
      <c r="B227" s="181" t="str">
        <f>HYPERLINK("http://codeforces.com/contest/507/problem/A","CF507-D2-A")</f>
        <v>CF507-D2-A</v>
      </c>
      <c r="C227" s="72"/>
      <c r="D227" s="86"/>
      <c r="E227" s="86"/>
      <c r="F227" s="86"/>
      <c r="G227" s="86"/>
      <c r="H227" s="81"/>
      <c r="I227" s="81">
        <f t="shared" si="6"/>
        <v>0</v>
      </c>
      <c r="J227" s="180"/>
      <c r="K227" s="80"/>
      <c r="L227" s="180"/>
      <c r="M227" s="114"/>
    </row>
    <row r="228">
      <c r="A228" s="92" t="s">
        <v>369</v>
      </c>
      <c r="B228" s="181" t="str">
        <f>HYPERLINK("http://codeforces.com/contest/152/problem/A","CF152-D2-A")</f>
        <v>CF152-D2-A</v>
      </c>
      <c r="C228" s="72"/>
      <c r="D228" s="86"/>
      <c r="E228" s="86"/>
      <c r="F228" s="86"/>
      <c r="G228" s="86"/>
      <c r="H228" s="81"/>
      <c r="I228" s="81">
        <f t="shared" si="6"/>
        <v>0</v>
      </c>
      <c r="J228" s="180"/>
      <c r="K228" s="80"/>
      <c r="L228" s="180"/>
      <c r="M228" s="114"/>
    </row>
    <row r="229">
      <c r="A229" s="92" t="s">
        <v>370</v>
      </c>
      <c r="B229" s="181" t="str">
        <f>HYPERLINK("http://codeforces.com/contest/137/problem/A","CF137-D2-A")</f>
        <v>CF137-D2-A</v>
      </c>
      <c r="C229" s="72"/>
      <c r="D229" s="86"/>
      <c r="E229" s="86"/>
      <c r="F229" s="86"/>
      <c r="G229" s="86"/>
      <c r="H229" s="81"/>
      <c r="I229" s="81">
        <f t="shared" si="6"/>
        <v>0</v>
      </c>
      <c r="J229" s="180"/>
      <c r="K229" s="80"/>
      <c r="L229" s="180"/>
      <c r="M229" s="114"/>
    </row>
    <row r="230">
      <c r="A230" s="92"/>
      <c r="B230" s="157"/>
      <c r="C230" s="72"/>
      <c r="D230" s="86"/>
      <c r="E230" s="86"/>
      <c r="F230" s="86"/>
      <c r="G230" s="86"/>
      <c r="H230" s="81"/>
      <c r="I230" s="81">
        <f t="shared" si="6"/>
        <v>0</v>
      </c>
      <c r="J230" s="180"/>
      <c r="K230" s="80"/>
      <c r="L230" s="180"/>
      <c r="M230" s="114"/>
    </row>
    <row r="231">
      <c r="A231" s="92" t="s">
        <v>371</v>
      </c>
      <c r="B231" s="181" t="str">
        <f>HYPERLINK("http://codeforces.com/contest/149/problem/A","CF149-D2-A")</f>
        <v>CF149-D2-A</v>
      </c>
      <c r="C231" s="72"/>
      <c r="D231" s="86"/>
      <c r="E231" s="86"/>
      <c r="F231" s="86"/>
      <c r="G231" s="86"/>
      <c r="H231" s="81"/>
      <c r="I231" s="81">
        <f t="shared" si="6"/>
        <v>0</v>
      </c>
      <c r="J231" s="180"/>
      <c r="K231" s="80"/>
      <c r="L231" s="180"/>
      <c r="M231" s="114"/>
    </row>
    <row r="232">
      <c r="A232" s="110" t="s">
        <v>372</v>
      </c>
      <c r="B232" s="111" t="str">
        <f>HYPERLINK("http://codeforces.com/contest/515/problem/A","CF515-D2-A")</f>
        <v>CF515-D2-A</v>
      </c>
      <c r="C232" s="72"/>
      <c r="D232" s="86"/>
      <c r="E232" s="86"/>
      <c r="F232" s="86"/>
      <c r="G232" s="86"/>
      <c r="H232" s="81"/>
      <c r="I232" s="81">
        <f t="shared" si="6"/>
        <v>0</v>
      </c>
      <c r="J232" s="180"/>
      <c r="K232" s="80"/>
      <c r="L232" s="180"/>
      <c r="M232" s="114"/>
    </row>
    <row r="233">
      <c r="A233" s="110" t="s">
        <v>373</v>
      </c>
      <c r="B233" s="111" t="str">
        <f>HYPERLINK("http://codeforces.com/contest/577/problem/A","CF577-D2-A")</f>
        <v>CF577-D2-A</v>
      </c>
      <c r="C233" s="72"/>
      <c r="D233" s="86"/>
      <c r="E233" s="86"/>
      <c r="F233" s="86"/>
      <c r="G233" s="86"/>
      <c r="H233" s="81"/>
      <c r="I233" s="81">
        <f t="shared" si="6"/>
        <v>0</v>
      </c>
      <c r="J233" s="180"/>
      <c r="K233" s="80"/>
      <c r="L233" s="180"/>
      <c r="M233" s="114"/>
    </row>
    <row r="234">
      <c r="A234" s="92" t="s">
        <v>374</v>
      </c>
      <c r="B234" s="181" t="str">
        <f>HYPERLINK("http://codeforces.com/contest/534/problem/A","CF534-D2-A")</f>
        <v>CF534-D2-A</v>
      </c>
      <c r="C234" s="72"/>
      <c r="D234" s="86"/>
      <c r="E234" s="86"/>
      <c r="F234" s="86"/>
      <c r="G234" s="86"/>
      <c r="H234" s="81"/>
      <c r="I234" s="81">
        <f t="shared" si="6"/>
        <v>0</v>
      </c>
      <c r="J234" s="180"/>
      <c r="K234" s="80"/>
      <c r="L234" s="180"/>
      <c r="M234" s="114"/>
    </row>
    <row r="235">
      <c r="A235" s="92" t="s">
        <v>375</v>
      </c>
      <c r="B235" s="181" t="str">
        <f>HYPERLINK("http://codeforces.com/contest/586/problem/A","CF586-D2-A")</f>
        <v>CF586-D2-A</v>
      </c>
      <c r="C235" s="72"/>
      <c r="D235" s="86"/>
      <c r="E235" s="86"/>
      <c r="F235" s="86"/>
      <c r="G235" s="86"/>
      <c r="H235" s="81"/>
      <c r="I235" s="81">
        <f t="shared" si="6"/>
        <v>0</v>
      </c>
      <c r="J235" s="180"/>
      <c r="K235" s="80"/>
      <c r="L235" s="180"/>
      <c r="M235" s="114"/>
    </row>
    <row r="236">
      <c r="A236" s="92" t="s">
        <v>376</v>
      </c>
      <c r="B236" s="181" t="str">
        <f>HYPERLINK("http://codeforces.com/contest/631/problem/A","CF631-D2-A")</f>
        <v>CF631-D2-A</v>
      </c>
      <c r="C236" s="72"/>
      <c r="D236" s="86"/>
      <c r="E236" s="86"/>
      <c r="F236" s="86"/>
      <c r="G236" s="86"/>
      <c r="H236" s="81"/>
      <c r="I236" s="81">
        <f t="shared" si="6"/>
        <v>0</v>
      </c>
      <c r="J236" s="180"/>
      <c r="K236" s="80"/>
      <c r="L236" s="180"/>
      <c r="M236" s="114"/>
    </row>
    <row r="237">
      <c r="A237" s="92" t="s">
        <v>377</v>
      </c>
      <c r="B237" s="181" t="str">
        <f>HYPERLINK("http://codeforces.com/contest/122/problem/A","CF122-D2-A")</f>
        <v>CF122-D2-A</v>
      </c>
      <c r="C237" s="72"/>
      <c r="D237" s="86"/>
      <c r="E237" s="86"/>
      <c r="F237" s="86"/>
      <c r="G237" s="86"/>
      <c r="H237" s="81"/>
      <c r="I237" s="81">
        <f t="shared" si="6"/>
        <v>0</v>
      </c>
      <c r="J237" s="180"/>
      <c r="K237" s="80"/>
      <c r="L237" s="180"/>
      <c r="M237" s="114"/>
    </row>
    <row r="238">
      <c r="A238" s="92" t="s">
        <v>378</v>
      </c>
      <c r="B238" s="181" t="str">
        <f>HYPERLINK("http://codeforces.com/contest/462/problem/A","CF462-D2-A")</f>
        <v>CF462-D2-A</v>
      </c>
      <c r="C238" s="72"/>
      <c r="D238" s="86"/>
      <c r="E238" s="86"/>
      <c r="F238" s="86"/>
      <c r="G238" s="86"/>
      <c r="H238" s="81"/>
      <c r="I238" s="81">
        <f t="shared" si="6"/>
        <v>0</v>
      </c>
      <c r="J238" s="180"/>
      <c r="K238" s="80"/>
      <c r="L238" s="180"/>
      <c r="M238" s="114"/>
    </row>
    <row r="239">
      <c r="A239" s="92" t="s">
        <v>379</v>
      </c>
      <c r="B239" s="181" t="str">
        <f>HYPERLINK("http://codeforces.com/contest/355/problem/A","CF355-D2-A")</f>
        <v>CF355-D2-A</v>
      </c>
      <c r="C239" s="72"/>
      <c r="D239" s="86"/>
      <c r="E239" s="86"/>
      <c r="F239" s="86"/>
      <c r="G239" s="86"/>
      <c r="H239" s="81"/>
      <c r="I239" s="81">
        <f t="shared" si="6"/>
        <v>0</v>
      </c>
      <c r="J239" s="180"/>
      <c r="K239" s="80"/>
      <c r="L239" s="180"/>
      <c r="M239" s="114"/>
    </row>
    <row r="240">
      <c r="A240" s="92" t="s">
        <v>380</v>
      </c>
      <c r="B240" s="181" t="str">
        <f>HYPERLINK("http://codeforces.com/contest/224/problem/A","CF224-D2-A")</f>
        <v>CF224-D2-A</v>
      </c>
      <c r="C240" s="72"/>
      <c r="D240" s="86"/>
      <c r="E240" s="86"/>
      <c r="F240" s="86"/>
      <c r="G240" s="86"/>
      <c r="H240" s="81"/>
      <c r="I240" s="81">
        <f t="shared" si="6"/>
        <v>0</v>
      </c>
      <c r="J240" s="180"/>
      <c r="K240" s="80"/>
      <c r="L240" s="180"/>
      <c r="M240" s="114"/>
    </row>
    <row r="241">
      <c r="A241" s="92"/>
      <c r="B241" s="157"/>
      <c r="C241" s="72"/>
      <c r="D241" s="86"/>
      <c r="E241" s="86"/>
      <c r="F241" s="86"/>
      <c r="G241" s="86"/>
      <c r="H241" s="81"/>
      <c r="I241" s="81">
        <f t="shared" si="6"/>
        <v>0</v>
      </c>
      <c r="J241" s="180"/>
      <c r="K241" s="80"/>
      <c r="L241" s="180"/>
      <c r="M241" s="114"/>
    </row>
    <row r="242">
      <c r="A242" s="92" t="s">
        <v>381</v>
      </c>
      <c r="B242" s="181" t="str">
        <f>HYPERLINK("http://codeforces.com/contest/357/problem/A","CF357-D2-A")</f>
        <v>CF357-D2-A</v>
      </c>
      <c r="C242" s="72"/>
      <c r="D242" s="86"/>
      <c r="E242" s="86"/>
      <c r="F242" s="86"/>
      <c r="G242" s="86"/>
      <c r="H242" s="81"/>
      <c r="I242" s="81">
        <f t="shared" si="6"/>
        <v>0</v>
      </c>
      <c r="J242" s="180"/>
      <c r="K242" s="80"/>
      <c r="L242" s="180"/>
      <c r="M242" s="114"/>
    </row>
    <row r="243">
      <c r="A243" s="92" t="s">
        <v>382</v>
      </c>
      <c r="B243" s="181" t="str">
        <f>HYPERLINK("http://codeforces.com/contest/651/problem/A","CF651-D2-A")</f>
        <v>CF651-D2-A</v>
      </c>
      <c r="C243" s="72"/>
      <c r="D243" s="86"/>
      <c r="E243" s="86"/>
      <c r="F243" s="86"/>
      <c r="G243" s="86"/>
      <c r="H243" s="81"/>
      <c r="I243" s="81">
        <f t="shared" si="6"/>
        <v>0</v>
      </c>
      <c r="J243" s="180"/>
      <c r="K243" s="80"/>
      <c r="L243" s="180"/>
      <c r="M243" s="114"/>
    </row>
    <row r="244">
      <c r="A244" s="92" t="s">
        <v>383</v>
      </c>
      <c r="B244" s="181" t="str">
        <f>HYPERLINK("http://codeforces.com/contest/300/problem/A","CF300-D2-A")</f>
        <v>CF300-D2-A</v>
      </c>
      <c r="C244" s="72"/>
      <c r="D244" s="86"/>
      <c r="E244" s="86"/>
      <c r="F244" s="86"/>
      <c r="G244" s="86"/>
      <c r="H244" s="81"/>
      <c r="I244" s="81">
        <f t="shared" si="6"/>
        <v>0</v>
      </c>
      <c r="J244" s="180"/>
      <c r="K244" s="80"/>
      <c r="L244" s="180"/>
      <c r="M244" s="114"/>
    </row>
    <row r="245">
      <c r="A245" s="110" t="s">
        <v>384</v>
      </c>
      <c r="B245" s="111" t="str">
        <f>HYPERLINK("http://codeforces.com/contest/659/problem/A","CF659-D2-A")</f>
        <v>CF659-D2-A</v>
      </c>
      <c r="C245" s="72"/>
      <c r="D245" s="86"/>
      <c r="E245" s="86"/>
      <c r="F245" s="86"/>
      <c r="G245" s="86"/>
      <c r="H245" s="81"/>
      <c r="I245" s="81">
        <f t="shared" si="6"/>
        <v>0</v>
      </c>
      <c r="J245" s="180"/>
      <c r="K245" s="80"/>
      <c r="L245" s="180"/>
      <c r="M245" s="114"/>
    </row>
    <row r="246">
      <c r="A246" s="92" t="s">
        <v>385</v>
      </c>
      <c r="B246" s="181" t="str">
        <f>HYPERLINK("http://codeforces.com/contest/558/problem/A","CF558-D2-A")</f>
        <v>CF558-D2-A</v>
      </c>
      <c r="C246" s="72"/>
      <c r="D246" s="86"/>
      <c r="E246" s="86"/>
      <c r="F246" s="86"/>
      <c r="G246" s="86"/>
      <c r="H246" s="81"/>
      <c r="I246" s="81">
        <f t="shared" si="6"/>
        <v>0</v>
      </c>
      <c r="J246" s="180"/>
      <c r="K246" s="80"/>
      <c r="L246" s="180"/>
      <c r="M246" s="114"/>
    </row>
    <row r="247">
      <c r="A247" s="92" t="s">
        <v>386</v>
      </c>
      <c r="B247" s="181" t="str">
        <f>HYPERLINK("http://codeforces.com/contest/53/problem/A","CF53-D2-A")</f>
        <v>CF53-D2-A</v>
      </c>
      <c r="C247" s="72"/>
      <c r="D247" s="86"/>
      <c r="E247" s="86"/>
      <c r="F247" s="86"/>
      <c r="G247" s="86"/>
      <c r="H247" s="81"/>
      <c r="I247" s="81">
        <f t="shared" si="6"/>
        <v>0</v>
      </c>
      <c r="J247" s="180"/>
      <c r="K247" s="80"/>
      <c r="L247" s="180"/>
      <c r="M247" s="114"/>
    </row>
    <row r="248">
      <c r="A248" s="92" t="s">
        <v>387</v>
      </c>
      <c r="B248" s="181" t="str">
        <f>HYPERLINK("http://codeforces.com/contest/495/problem/A","CF495-D2-A")</f>
        <v>CF495-D2-A</v>
      </c>
      <c r="C248" s="72"/>
      <c r="D248" s="86"/>
      <c r="E248" s="86"/>
      <c r="F248" s="86"/>
      <c r="G248" s="86"/>
      <c r="H248" s="81"/>
      <c r="I248" s="81">
        <f t="shared" si="6"/>
        <v>0</v>
      </c>
      <c r="J248" s="180"/>
      <c r="K248" s="80"/>
      <c r="L248" s="180"/>
      <c r="M248" s="114"/>
    </row>
    <row r="249">
      <c r="A249" s="92" t="s">
        <v>388</v>
      </c>
      <c r="B249" s="181" t="str">
        <f>HYPERLINK("http://codeforces.com/contest/525/problem/A","CF525-D2-A")</f>
        <v>CF525-D2-A</v>
      </c>
      <c r="C249" s="72"/>
      <c r="D249" s="86"/>
      <c r="E249" s="86"/>
      <c r="F249" s="86"/>
      <c r="G249" s="86"/>
      <c r="H249" s="81"/>
      <c r="I249" s="81">
        <f t="shared" si="6"/>
        <v>0</v>
      </c>
      <c r="J249" s="180"/>
      <c r="K249" s="80"/>
      <c r="L249" s="180"/>
      <c r="M249" s="114"/>
    </row>
    <row r="250">
      <c r="A250" s="92" t="s">
        <v>389</v>
      </c>
      <c r="B250" s="181" t="str">
        <f>HYPERLINK("http://codeforces.com/contest/75/problem/A","CF75-D2-A")</f>
        <v>CF75-D2-A</v>
      </c>
      <c r="C250" s="72"/>
      <c r="D250" s="86"/>
      <c r="E250" s="86"/>
      <c r="F250" s="86"/>
      <c r="G250" s="86"/>
      <c r="H250" s="81"/>
      <c r="I250" s="81">
        <f t="shared" si="6"/>
        <v>0</v>
      </c>
      <c r="J250" s="180"/>
      <c r="K250" s="80"/>
      <c r="L250" s="180"/>
      <c r="M250" s="114"/>
    </row>
  </sheetData>
  <mergeCells count="2">
    <mergeCell ref="D122:G122"/>
    <mergeCell ref="J122:M122"/>
  </mergeCells>
  <conditionalFormatting sqref="C3:C286">
    <cfRule type="cellIs" dxfId="0" priority="1" operator="equal">
      <formula>"AC"</formula>
    </cfRule>
  </conditionalFormatting>
  <conditionalFormatting sqref="C3:C286">
    <cfRule type="containsText" dxfId="1" priority="2" operator="containsText" text="WA">
      <formula>NOT(ISERROR(SEARCH(("WA"),(C3))))</formula>
    </cfRule>
  </conditionalFormatting>
  <conditionalFormatting sqref="C3:C286">
    <cfRule type="containsText" dxfId="1" priority="3" operator="containsText" text="WA">
      <formula>NOT(ISERROR(SEARCH(("WA"),(C3))))</formula>
    </cfRule>
  </conditionalFormatting>
  <conditionalFormatting sqref="C3:C286">
    <cfRule type="containsText" dxfId="2" priority="4" operator="containsText" text="TLE">
      <formula>NOT(ISERROR(SEARCH(("TLE"),(C3))))</formula>
    </cfRule>
  </conditionalFormatting>
  <conditionalFormatting sqref="C3:C286">
    <cfRule type="containsText" dxfId="2" priority="5" operator="containsText" text="TLE">
      <formula>NOT(ISERROR(SEARCH(("TLE"),(C3))))</formula>
    </cfRule>
  </conditionalFormatting>
  <conditionalFormatting sqref="C3:C286">
    <cfRule type="containsText" dxfId="3" priority="6" operator="containsText" text="RTE">
      <formula>NOT(ISERROR(SEARCH(("RTE"),(C3))))</formula>
    </cfRule>
  </conditionalFormatting>
  <conditionalFormatting sqref="C3:C286">
    <cfRule type="containsText" dxfId="3" priority="7" operator="containsText" text="RTE">
      <formula>NOT(ISERROR(SEARCH(("RTE"),(C3))))</formula>
    </cfRule>
  </conditionalFormatting>
  <conditionalFormatting sqref="C3:C286">
    <cfRule type="containsText" dxfId="4" priority="8" operator="containsText" text="CS">
      <formula>NOT(ISERROR(SEARCH(("CS"),(C3))))</formula>
    </cfRule>
  </conditionalFormatting>
  <conditionalFormatting sqref="C3:C286">
    <cfRule type="containsText" dxfId="4" priority="9" operator="containsText" text="CS">
      <formula>NOT(ISERROR(SEARCH(("CS"),(C3))))</formula>
    </cfRule>
  </conditionalFormatting>
  <conditionalFormatting sqref="K3:K120 K124:K250">
    <cfRule type="cellIs" dxfId="5" priority="10" operator="equal">
      <formula>"No"</formula>
    </cfRule>
  </conditionalFormatting>
  <conditionalFormatting sqref="K3:K120 K124:K250">
    <cfRule type="cellIs" dxfId="5" priority="11" operator="equal">
      <formula>"no"</formula>
    </cfRule>
  </conditionalFormatting>
  <conditionalFormatting sqref="K3:K120 K124:K250">
    <cfRule type="cellIs" dxfId="5" priority="12" operator="equal">
      <formula>"NO"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6.0"/>
    <col customWidth="1" min="2" max="2" width="17.14"/>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9.57"/>
  </cols>
  <sheetData>
    <row r="1">
      <c r="A1" s="182"/>
      <c r="B1" s="67" t="s">
        <v>144</v>
      </c>
      <c r="C1" s="68" t="s">
        <v>145</v>
      </c>
      <c r="D1" s="69" t="s">
        <v>146</v>
      </c>
      <c r="E1" s="69" t="s">
        <v>147</v>
      </c>
      <c r="F1" s="68" t="s">
        <v>148</v>
      </c>
      <c r="G1" s="69" t="s">
        <v>149</v>
      </c>
      <c r="H1" s="69" t="s">
        <v>150</v>
      </c>
      <c r="I1" s="69" t="s">
        <v>151</v>
      </c>
      <c r="J1" s="68" t="s">
        <v>152</v>
      </c>
      <c r="K1" s="68" t="s">
        <v>153</v>
      </c>
      <c r="L1" s="68" t="s">
        <v>154</v>
      </c>
      <c r="M1" s="70" t="s">
        <v>155</v>
      </c>
    </row>
    <row r="2">
      <c r="A2" s="183"/>
      <c r="B2" s="184" t="s">
        <v>156</v>
      </c>
      <c r="C2" s="73">
        <f>countif(C3:C10479, "AC")</f>
        <v>0</v>
      </c>
      <c r="D2" s="74">
        <f>ROUND(SUMPRODUCT(D3:D10479,INT(EQ(C3:C10479, "AC")))/MAX(1, C2),1)</f>
        <v>0</v>
      </c>
      <c r="E2" s="74">
        <f>ROUND(SUMPRODUCT(E3:E10501,INT(EQ(C3:C10501, "AC")))/MAX(1, C2),0)</f>
        <v>0</v>
      </c>
      <c r="F2" s="74">
        <f>ROUND(SUMPRODUCT(F3:F10504,INT(EQ(C3:C10504, "AC")))/MAX(1, C2),0)</f>
        <v>0</v>
      </c>
      <c r="G2" s="74">
        <f>ROUND(SUMPRODUCT(G3:G10504,INT(EQ(C3:C10504, "AC")))/MAX(1, C2),0)</f>
        <v>0</v>
      </c>
      <c r="H2" s="74">
        <f>ROUND(SUMPRODUCT(H3:H10504,INT(EQ(C3:C10504, "AC")))/MAX(1, C2),0)</f>
        <v>0</v>
      </c>
      <c r="I2" s="74">
        <f>ROUND(SUMPRODUCT(I3:I10476,INT(EQ(C3:C10476, "AC")))/MAX(1, C2),0)</f>
        <v>0</v>
      </c>
      <c r="J2" s="74">
        <f>ROUND(SUMPRODUCT(J3:J10474,INT(EQ(C3:C10474, "AC")))/MAX(1, C2),1)</f>
        <v>0</v>
      </c>
      <c r="K2" s="74">
        <f>SUMPRODUCT(EQ(K3:K10479, "YES"),INT(EQ(C3:C10504, "AC")))</f>
        <v>0</v>
      </c>
      <c r="L2" s="75">
        <f>IFERROR(__xludf.DUMMYFUNCTION("COUNTA(FILTER(C3:C9971, NOT(REGEXMATCH(C3:C9971, ""AC""))))"),0.0)</f>
        <v>0</v>
      </c>
      <c r="M2" s="76">
        <f>IFERROR(__xludf.DUMMYFUNCTION("COUNTA(FILTER(C3:C9965, NOT(REGEXMATCH(C3:C9965, ""AC""))))"),0.0)</f>
        <v>0</v>
      </c>
    </row>
    <row r="3">
      <c r="A3" s="151"/>
      <c r="B3" s="47"/>
      <c r="C3" s="185"/>
      <c r="D3" s="185"/>
      <c r="E3" s="185"/>
      <c r="F3" s="185"/>
      <c r="G3" s="185"/>
      <c r="H3" s="186"/>
      <c r="I3" s="81">
        <f t="shared" ref="I3:I55" si="1">SUM(E3:H3)</f>
        <v>0</v>
      </c>
      <c r="J3" s="86"/>
      <c r="K3" s="80"/>
      <c r="L3" s="185"/>
      <c r="M3" s="187" t="str">
        <f>HYPERLINK("https://www.youtube.com/watch?v=x1rCxxKfFbM","Watch - Thinking - Problem Simplification ")</f>
        <v>Watch - Thinking - Problem Simplification </v>
      </c>
    </row>
    <row r="4">
      <c r="A4" s="151"/>
      <c r="B4" s="47"/>
      <c r="C4" s="185"/>
      <c r="D4" s="185"/>
      <c r="E4" s="185"/>
      <c r="F4" s="185"/>
      <c r="G4" s="185"/>
      <c r="H4" s="186"/>
      <c r="I4" s="81">
        <f t="shared" si="1"/>
        <v>0</v>
      </c>
      <c r="J4" s="86"/>
      <c r="K4" s="80"/>
      <c r="L4" s="185"/>
      <c r="M4" s="187" t="str">
        <f>HYPERLINK("https://www.youtube.com/watch?v=7z1498LTCgg","Watch - Thinking - Brainstorm - Rank - Approach ")</f>
        <v>Watch - Thinking - Brainstorm - Rank - Approach </v>
      </c>
    </row>
    <row r="5">
      <c r="A5" s="151"/>
      <c r="B5" s="47"/>
      <c r="C5" s="185"/>
      <c r="D5" s="185"/>
      <c r="E5" s="185"/>
      <c r="F5" s="185"/>
      <c r="G5" s="185"/>
      <c r="H5" s="186"/>
      <c r="I5" s="81">
        <f t="shared" si="1"/>
        <v>0</v>
      </c>
      <c r="J5" s="86"/>
      <c r="K5" s="80"/>
      <c r="L5" s="185"/>
      <c r="M5" s="188" t="s">
        <v>390</v>
      </c>
    </row>
    <row r="6">
      <c r="A6" s="189"/>
      <c r="B6" s="190"/>
      <c r="C6" s="185"/>
      <c r="D6" s="185"/>
      <c r="E6" s="185"/>
      <c r="F6" s="185"/>
      <c r="G6" s="185"/>
      <c r="H6" s="186"/>
      <c r="I6" s="81">
        <f t="shared" si="1"/>
        <v>0</v>
      </c>
      <c r="J6" s="86"/>
      <c r="K6" s="80"/>
      <c r="L6" s="185"/>
      <c r="M6" s="191" t="str">
        <f>HYPERLINK("https://www.youtube.com/watch?v=9wvqNeX_JnI","Watch - Combinatorics - Permutations and Combinations - 1")</f>
        <v>Watch - Combinatorics - Permutations and Combinations - 1</v>
      </c>
    </row>
    <row r="7">
      <c r="A7" s="189"/>
      <c r="B7" s="190"/>
      <c r="C7" s="185"/>
      <c r="D7" s="185"/>
      <c r="E7" s="185"/>
      <c r="F7" s="185"/>
      <c r="G7" s="185"/>
      <c r="H7" s="186"/>
      <c r="I7" s="81">
        <f t="shared" si="1"/>
        <v>0</v>
      </c>
      <c r="J7" s="86"/>
      <c r="K7" s="80"/>
      <c r="L7" s="185"/>
      <c r="M7" s="191" t="str">
        <f>HYPERLINK("https://www.youtube.com/watch?v=8V_xhaPpjmM","Watch - Combinatorics - Permutations and Combinations - 2")</f>
        <v>Watch - Combinatorics - Permutations and Combinations - 2</v>
      </c>
    </row>
    <row r="8">
      <c r="A8" s="192" t="s">
        <v>391</v>
      </c>
      <c r="B8" s="64" t="str">
        <f>HYPERLINK("http://codeforces.com/contest/66/problem/B","CF66-D2-B")</f>
        <v>CF66-D2-B</v>
      </c>
      <c r="C8" s="185"/>
      <c r="D8" s="185"/>
      <c r="E8" s="185"/>
      <c r="F8" s="185"/>
      <c r="G8" s="185"/>
      <c r="H8" s="186"/>
      <c r="I8" s="81">
        <f t="shared" si="1"/>
        <v>0</v>
      </c>
      <c r="J8" s="86"/>
      <c r="K8" s="80"/>
      <c r="L8" s="185"/>
      <c r="M8" s="106" t="str">
        <f>HYPERLINK("https://www.youtube.com/watch?v=XRgCL-gVU7M&amp;feature=youtu.be","Video Solution - Eng Muntaser Abukadeja")</f>
        <v>Video Solution - Eng Muntaser Abukadeja</v>
      </c>
    </row>
    <row r="9">
      <c r="A9" s="192" t="s">
        <v>392</v>
      </c>
      <c r="B9" s="64" t="str">
        <f>HYPERLINK("http://codeforces.com/contest/680/problem/B","CF680-D2-B")</f>
        <v>CF680-D2-B</v>
      </c>
      <c r="C9" s="185"/>
      <c r="D9" s="185"/>
      <c r="E9" s="185"/>
      <c r="F9" s="185"/>
      <c r="G9" s="185"/>
      <c r="H9" s="186"/>
      <c r="I9" s="81">
        <f t="shared" si="1"/>
        <v>0</v>
      </c>
      <c r="J9" s="86"/>
      <c r="K9" s="80"/>
      <c r="L9" s="185"/>
      <c r="M9" s="106" t="str">
        <f>HYPERLINK("https://www.youtube.com/watch?v=oKRNtI-ZI5g&amp;feature=youtu.be","Video Solution - Eng Muntaser Abukadeja")</f>
        <v>Video Solution - Eng Muntaser Abukadeja</v>
      </c>
    </row>
    <row r="10">
      <c r="A10" s="192" t="s">
        <v>393</v>
      </c>
      <c r="B10" s="64" t="str">
        <f>HYPERLINK("http://codeforces.com/contest/16/problem/B","CF16-D2-B")</f>
        <v>CF16-D2-B</v>
      </c>
      <c r="C10" s="185"/>
      <c r="D10" s="185"/>
      <c r="E10" s="185"/>
      <c r="F10" s="185"/>
      <c r="G10" s="185"/>
      <c r="H10" s="186"/>
      <c r="I10" s="81">
        <f t="shared" si="1"/>
        <v>0</v>
      </c>
      <c r="J10" s="86"/>
      <c r="K10" s="80"/>
      <c r="L10" s="185"/>
      <c r="M10" s="106" t="str">
        <f>HYPERLINK("https://www.youtube.com/watch?v=eDg_yuWBS8o&amp;feature=youtu.be","Video Solution - Eng Muntaser Abukadeja")</f>
        <v>Video Solution - Eng Muntaser Abukadeja</v>
      </c>
    </row>
    <row r="11">
      <c r="A11" s="192" t="s">
        <v>394</v>
      </c>
      <c r="B11" s="64" t="str">
        <f>HYPERLINK("http://codeforces.com/contest/463/problem/B","CF463-D2-B")</f>
        <v>CF463-D2-B</v>
      </c>
      <c r="C11" s="185"/>
      <c r="D11" s="185"/>
      <c r="E11" s="185"/>
      <c r="F11" s="185"/>
      <c r="G11" s="185"/>
      <c r="H11" s="186"/>
      <c r="I11" s="81">
        <f t="shared" si="1"/>
        <v>0</v>
      </c>
      <c r="J11" s="86"/>
      <c r="K11" s="80"/>
      <c r="L11" s="185"/>
      <c r="M11" s="106" t="str">
        <f>HYPERLINK("https://www.youtube.com/watch?v=c6X5U5HATAA","Video Solution - Eng Muntaser Abukadeja")</f>
        <v>Video Solution - Eng Muntaser Abukadeja</v>
      </c>
    </row>
    <row r="12">
      <c r="A12" s="192" t="s">
        <v>395</v>
      </c>
      <c r="B12" s="64" t="str">
        <f>HYPERLINK("http://codeforces.com/contest/102/problem/B","CF102-D2-B")</f>
        <v>CF102-D2-B</v>
      </c>
      <c r="C12" s="185"/>
      <c r="D12" s="185"/>
      <c r="E12" s="185"/>
      <c r="F12" s="185"/>
      <c r="G12" s="185"/>
      <c r="H12" s="186"/>
      <c r="I12" s="81">
        <f t="shared" si="1"/>
        <v>0</v>
      </c>
      <c r="J12" s="86"/>
      <c r="K12" s="80"/>
      <c r="L12" s="185"/>
      <c r="M12" s="106" t="str">
        <f>HYPERLINK("https://www.youtube.com/watch?v=_qdIm9Yj9_U","Video Solution - Eng Muntaser Abukadeja")</f>
        <v>Video Solution - Eng Muntaser Abukadeja</v>
      </c>
    </row>
    <row r="13">
      <c r="A13" s="192" t="s">
        <v>396</v>
      </c>
      <c r="B13" s="64" t="str">
        <f>HYPERLINK("http://codeforces.com/contest/47/problem/B","CF47-D2-B")</f>
        <v>CF47-D2-B</v>
      </c>
      <c r="C13" s="185"/>
      <c r="D13" s="185"/>
      <c r="E13" s="185"/>
      <c r="F13" s="185"/>
      <c r="G13" s="185"/>
      <c r="H13" s="186"/>
      <c r="I13" s="81">
        <f t="shared" si="1"/>
        <v>0</v>
      </c>
      <c r="J13" s="86"/>
      <c r="K13" s="80"/>
      <c r="L13" s="185"/>
      <c r="M13" s="106" t="str">
        <f>HYPERLINK("https://www.youtube.com/watch?v=lvK0ZlpWeEY&amp;feature=youtu.be","Video Solution - Eng Samed Hajajla")</f>
        <v>Video Solution - Eng Samed Hajajla</v>
      </c>
    </row>
    <row r="14">
      <c r="A14" s="192" t="s">
        <v>397</v>
      </c>
      <c r="B14" s="64" t="str">
        <f>HYPERLINK("http://codeforces.com/contest/227/problem/B","CF227-D2-B")</f>
        <v>CF227-D2-B</v>
      </c>
      <c r="C14" s="185"/>
      <c r="D14" s="185"/>
      <c r="E14" s="185"/>
      <c r="F14" s="185"/>
      <c r="G14" s="185"/>
      <c r="H14" s="186"/>
      <c r="I14" s="81">
        <f t="shared" si="1"/>
        <v>0</v>
      </c>
      <c r="J14" s="86"/>
      <c r="K14" s="80"/>
      <c r="L14" s="185"/>
      <c r="M14" s="106" t="str">
        <f>HYPERLINK("https://www.youtube.com/watch?v=76gg4S0A2nk","Video Solution - Eng Abanob Ashraf")</f>
        <v>Video Solution - Eng Abanob Ashraf</v>
      </c>
    </row>
    <row r="15">
      <c r="A15" s="192" t="s">
        <v>398</v>
      </c>
      <c r="B15" s="64" t="str">
        <f>HYPERLINK("http://codeforces.com/contest/78/problem/B","CF78-D2-B")</f>
        <v>CF78-D2-B</v>
      </c>
      <c r="C15" s="185"/>
      <c r="D15" s="185"/>
      <c r="E15" s="185"/>
      <c r="F15" s="185"/>
      <c r="G15" s="185"/>
      <c r="H15" s="186"/>
      <c r="I15" s="81">
        <f t="shared" si="1"/>
        <v>0</v>
      </c>
      <c r="J15" s="86"/>
      <c r="K15" s="80"/>
      <c r="L15" s="185"/>
      <c r="M15" s="106" t="str">
        <f>HYPERLINK("https://www.youtube.com/watch?v=rJN_rI2xiV4","Video Solution - Eng Abanob Ashraf")</f>
        <v>Video Solution - Eng Abanob Ashraf</v>
      </c>
    </row>
    <row r="16">
      <c r="A16" s="110" t="s">
        <v>399</v>
      </c>
      <c r="B16" s="111" t="str">
        <f>HYPERLINK("http://codeforces.com/contest/746/problem/B","CF746-D2-B")</f>
        <v>CF746-D2-B</v>
      </c>
      <c r="C16" s="185"/>
      <c r="D16" s="185"/>
      <c r="E16" s="185"/>
      <c r="F16" s="185"/>
      <c r="G16" s="185"/>
      <c r="H16" s="186"/>
      <c r="I16" s="81">
        <f t="shared" si="1"/>
        <v>0</v>
      </c>
      <c r="J16" s="86"/>
      <c r="K16" s="80"/>
      <c r="L16" s="185"/>
      <c r="M16" s="106" t="str">
        <f>HYPERLINK("https://www.youtube.com/watch?v=FI5HvI9SQtA","Video Solution - Solver to be (Java)")</f>
        <v>Video Solution - Solver to be (Java)</v>
      </c>
    </row>
    <row r="17">
      <c r="A17" s="189"/>
      <c r="B17" s="190"/>
      <c r="C17" s="185"/>
      <c r="D17" s="185"/>
      <c r="E17" s="185"/>
      <c r="F17" s="185"/>
      <c r="G17" s="185"/>
      <c r="H17" s="186"/>
      <c r="I17" s="81">
        <f t="shared" si="1"/>
        <v>0</v>
      </c>
      <c r="J17" s="86"/>
      <c r="K17" s="80"/>
      <c r="L17" s="185"/>
      <c r="M17" s="193" t="str">
        <f>HYPERLINK("https://www.youtube.com/watch?v=tKGztXjnnuA","Watch - Training-Secrets of Success")</f>
        <v>Watch - Training-Secrets of Success</v>
      </c>
    </row>
    <row r="18">
      <c r="A18" s="189"/>
      <c r="B18" s="190"/>
      <c r="C18" s="185"/>
      <c r="D18" s="185"/>
      <c r="E18" s="185"/>
      <c r="F18" s="185"/>
      <c r="G18" s="185"/>
      <c r="H18" s="186"/>
      <c r="I18" s="81">
        <f t="shared" si="1"/>
        <v>0</v>
      </c>
      <c r="J18" s="86"/>
      <c r="K18" s="80"/>
      <c r="L18" s="185"/>
      <c r="M18" s="193" t="str">
        <f>HYPERLINK("https://www.youtube.com/watch?v=6QS_Cup1YoI","Revise Stack/Queue datastructure concepts. Learn using STL")</f>
        <v>Revise Stack/Queue datastructure concepts. Learn using STL</v>
      </c>
    </row>
    <row r="19">
      <c r="A19" s="189"/>
      <c r="B19" s="190"/>
      <c r="C19" s="185"/>
      <c r="D19" s="185"/>
      <c r="E19" s="185"/>
      <c r="F19" s="185"/>
      <c r="G19" s="185"/>
      <c r="H19" s="186"/>
      <c r="I19" s="81">
        <f t="shared" si="1"/>
        <v>0</v>
      </c>
      <c r="J19" s="86"/>
      <c r="K19" s="80"/>
      <c r="L19" s="185"/>
      <c r="M19" s="191" t="str">
        <f>HYPERLINK("https://www.youtube.com/watch?v=YklnFXpq0ZE","Watch - Number Theory - Fib, GCD, LCM, Pow")</f>
        <v>Watch - Number Theory - Fib, GCD, LCM, Pow</v>
      </c>
    </row>
    <row r="20">
      <c r="A20" s="146" t="s">
        <v>400</v>
      </c>
      <c r="B20" s="194" t="str">
        <f>HYPERLINK("https://uva.onlinejudge.org/index.php?option=onlinejudge&amp;page=show_problem&amp;problem=310","UVA 374")</f>
        <v>UVA 374</v>
      </c>
      <c r="C20" s="185"/>
      <c r="D20" s="185"/>
      <c r="E20" s="185"/>
      <c r="F20" s="185"/>
      <c r="G20" s="185"/>
      <c r="H20" s="186"/>
      <c r="I20" s="81">
        <f t="shared" si="1"/>
        <v>0</v>
      </c>
      <c r="J20" s="86"/>
      <c r="K20" s="80"/>
      <c r="L20" s="185"/>
      <c r="M20" s="151"/>
    </row>
    <row r="21">
      <c r="A21" s="146" t="s">
        <v>401</v>
      </c>
      <c r="B21" s="46" t="str">
        <f>HYPERLINK("https://uva.onlinejudge.org/index.php?option=onlinejudge&amp;page=show_problem&amp;problem=305","UVA 369")</f>
        <v>UVA 369</v>
      </c>
      <c r="C21" s="185"/>
      <c r="D21" s="185"/>
      <c r="E21" s="185"/>
      <c r="F21" s="185"/>
      <c r="G21" s="185"/>
      <c r="H21" s="186"/>
      <c r="I21" s="81">
        <f t="shared" si="1"/>
        <v>0</v>
      </c>
      <c r="J21" s="86"/>
      <c r="K21" s="80"/>
      <c r="L21" s="185"/>
      <c r="M21" s="151"/>
    </row>
    <row r="22">
      <c r="A22" s="146" t="s">
        <v>402</v>
      </c>
      <c r="B22" s="46" t="str">
        <f>HYPERLINK("https://uva.onlinejudge.org/index.php?option=onlinejudge&amp;page=show_problem&amp;problem=353","UVA 412")</f>
        <v>UVA 412</v>
      </c>
      <c r="C22" s="185"/>
      <c r="D22" s="185"/>
      <c r="E22" s="185"/>
      <c r="F22" s="185"/>
      <c r="G22" s="185"/>
      <c r="H22" s="186"/>
      <c r="I22" s="81">
        <f t="shared" si="1"/>
        <v>0</v>
      </c>
      <c r="J22" s="86"/>
      <c r="K22" s="80"/>
      <c r="L22" s="185"/>
      <c r="M22" s="195" t="str">
        <f>HYPERLINK("https://www.youtube.com/watch?v=NmumgTB7B9c&amp;feature=youtu.be","Video Solution - Eng Mohamed Adel")</f>
        <v>Video Solution - Eng Mohamed Adel</v>
      </c>
    </row>
    <row r="23">
      <c r="A23" s="196" t="s">
        <v>403</v>
      </c>
      <c r="B23" s="197" t="str">
        <f>HYPERLINK("https://uva.onlinejudge.org/index.php?option=onlinejudge&amp;page=show_problem&amp;problem=654","UVA 713")</f>
        <v>UVA 713</v>
      </c>
      <c r="C23" s="72"/>
      <c r="D23" s="86"/>
      <c r="E23" s="86"/>
      <c r="F23" s="86"/>
      <c r="G23" s="86"/>
      <c r="H23" s="81"/>
      <c r="I23" s="81">
        <f t="shared" si="1"/>
        <v>0</v>
      </c>
      <c r="J23" s="86"/>
      <c r="K23" s="80"/>
      <c r="L23" s="86"/>
      <c r="M23" s="198" t="s">
        <v>404</v>
      </c>
    </row>
    <row r="24">
      <c r="A24" s="138" t="s">
        <v>405</v>
      </c>
      <c r="B24" s="199" t="str">
        <f>HYPERLINK("http://acm.timus.ru/problem.aspx?space=1&amp;num=1607","TIMUS 1607")</f>
        <v>TIMUS 1607</v>
      </c>
      <c r="C24" s="72"/>
      <c r="D24" s="86"/>
      <c r="E24" s="86"/>
      <c r="F24" s="86"/>
      <c r="G24" s="86"/>
      <c r="H24" s="81"/>
      <c r="I24" s="81">
        <f t="shared" si="1"/>
        <v>0</v>
      </c>
      <c r="J24" s="86"/>
      <c r="K24" s="80"/>
      <c r="L24" s="86"/>
      <c r="M24" s="200" t="s">
        <v>406</v>
      </c>
    </row>
    <row r="25">
      <c r="A25" s="138" t="s">
        <v>407</v>
      </c>
      <c r="B25" s="199" t="str">
        <f>HYPERLINK("https://icpcarchive.ecs.baylor.edu/index.php?option=com_onlinejudge&amp;Itemid=8&amp;page=show_problem&amp;problem=558","LIVEARCHIVE 2557")</f>
        <v>LIVEARCHIVE 2557</v>
      </c>
      <c r="C25" s="72"/>
      <c r="D25" s="86"/>
      <c r="E25" s="86"/>
      <c r="F25" s="86"/>
      <c r="G25" s="86"/>
      <c r="H25" s="81"/>
      <c r="I25" s="81">
        <f t="shared" si="1"/>
        <v>0</v>
      </c>
      <c r="J25" s="86"/>
      <c r="K25" s="80"/>
      <c r="L25" s="86"/>
      <c r="M25" s="102" t="str">
        <f>HYPERLINK("https://raw.githubusercontent.com/NadaAlaa/CompetitiveProgramming/master/LiveArchive/2557.cpp","Find a formula")</f>
        <v>Find a formula</v>
      </c>
    </row>
    <row r="26">
      <c r="A26" s="138" t="s">
        <v>408</v>
      </c>
      <c r="B26" s="139" t="str">
        <f>HYPERLINK("http://codeforces.com/contest/492/problem/B","CF492-D2-B")</f>
        <v>CF492-D2-B</v>
      </c>
      <c r="C26" s="50"/>
      <c r="D26" s="50"/>
      <c r="E26" s="50"/>
      <c r="F26" s="50"/>
      <c r="G26" s="50"/>
      <c r="H26" s="186"/>
      <c r="I26" s="81">
        <f t="shared" si="1"/>
        <v>0</v>
      </c>
      <c r="J26" s="86"/>
      <c r="K26" s="80"/>
      <c r="L26" s="50"/>
      <c r="M26" s="128" t="str">
        <f>HYPERLINK("https://www.youtube.com/watch?v=i4fMKTt8e84","Video Solution - Solver to be (Java)")</f>
        <v>Video Solution - Solver to be (Java)</v>
      </c>
    </row>
    <row r="27">
      <c r="A27" s="189"/>
      <c r="B27" s="190"/>
      <c r="C27" s="185"/>
      <c r="D27" s="185"/>
      <c r="E27" s="185"/>
      <c r="F27" s="185"/>
      <c r="G27" s="185"/>
      <c r="H27" s="186"/>
      <c r="I27" s="81">
        <f t="shared" si="1"/>
        <v>0</v>
      </c>
      <c r="J27" s="86"/>
      <c r="K27" s="80"/>
      <c r="L27" s="185"/>
      <c r="M27" s="201" t="str">
        <f>HYPERLINK("https://www.youtube.com/watch?v=hqOqr6vFPp8","Watch - Prefix Sum")</f>
        <v>Watch - Prefix Sum</v>
      </c>
    </row>
    <row r="28">
      <c r="A28" s="151" t="s">
        <v>409</v>
      </c>
      <c r="B28" s="194" t="str">
        <f>HYPERLINK("http://codeforces.com/contest/433/problem/B","CF433-D2-B")</f>
        <v>CF433-D2-B</v>
      </c>
      <c r="C28" s="50"/>
      <c r="D28" s="50"/>
      <c r="E28" s="50"/>
      <c r="F28" s="50"/>
      <c r="G28" s="50"/>
      <c r="H28" s="50"/>
      <c r="I28" s="127">
        <f t="shared" si="1"/>
        <v>0</v>
      </c>
      <c r="J28" s="117"/>
      <c r="K28" s="116"/>
      <c r="L28" s="50"/>
      <c r="M28" s="47"/>
    </row>
    <row r="29">
      <c r="A29" s="110" t="s">
        <v>410</v>
      </c>
      <c r="B29" s="194" t="str">
        <f>HYPERLINK("http://codeforces.com/contest/363/problem/B","CF363-D2-B")</f>
        <v>CF363-D2-B</v>
      </c>
      <c r="C29" s="50"/>
      <c r="D29" s="50"/>
      <c r="E29" s="50"/>
      <c r="F29" s="50"/>
      <c r="G29" s="50"/>
      <c r="H29" s="50"/>
      <c r="I29" s="127">
        <f t="shared" si="1"/>
        <v>0</v>
      </c>
      <c r="J29" s="117"/>
      <c r="K29" s="116"/>
      <c r="L29" s="50"/>
      <c r="M29" s="152" t="str">
        <f>HYPERLINK("https://www.youtube.com/watch?v=uwbfFMVMYBg&amp;feature=youtu.be","Video Solution - Eng Muntaser Abukadeja")</f>
        <v>Video Solution - Eng Muntaser Abukadeja</v>
      </c>
    </row>
    <row r="30">
      <c r="A30" s="192" t="s">
        <v>411</v>
      </c>
      <c r="B30" s="64" t="str">
        <f>HYPERLINK("http://codeforces.com/contest/6/problem/B","CF6-D2-B")</f>
        <v>CF6-D2-B</v>
      </c>
      <c r="C30" s="185"/>
      <c r="D30" s="185"/>
      <c r="E30" s="185"/>
      <c r="F30" s="185"/>
      <c r="G30" s="185"/>
      <c r="H30" s="186"/>
      <c r="I30" s="81">
        <f t="shared" si="1"/>
        <v>0</v>
      </c>
      <c r="J30" s="86"/>
      <c r="K30" s="80"/>
      <c r="L30" s="185"/>
      <c r="M30" s="106" t="str">
        <f>HYPERLINK("https://www.youtube.com/watch?v=FTM7HQahAc8&amp;feature=youtu.be","Video Solution - Eng Muntaser Abukadeja")</f>
        <v>Video Solution - Eng Muntaser Abukadeja</v>
      </c>
    </row>
    <row r="31">
      <c r="A31" s="107" t="s">
        <v>412</v>
      </c>
      <c r="B31" s="202" t="str">
        <f>HYPERLINK("http://codeforces.com/contest/688/problem/B","CF688-D2-B")</f>
        <v>CF688-D2-B</v>
      </c>
      <c r="C31" s="50"/>
      <c r="D31" s="50"/>
      <c r="E31" s="50"/>
      <c r="F31" s="50"/>
      <c r="G31" s="50"/>
      <c r="H31" s="186"/>
      <c r="I31" s="81">
        <f t="shared" si="1"/>
        <v>0</v>
      </c>
      <c r="J31" s="86"/>
      <c r="K31" s="80"/>
      <c r="L31" s="50"/>
      <c r="M31" s="106" t="str">
        <f>HYPERLINK("https://www.youtube.com/watch?v=sy_g77hnbaA","Video Solution - Solver to be (Java)")</f>
        <v>Video Solution - Solver to be (Java)</v>
      </c>
    </row>
    <row r="32">
      <c r="A32" s="107" t="s">
        <v>413</v>
      </c>
      <c r="B32" s="202" t="str">
        <f>HYPERLINK("http://codeforces.com/contest/451/problem/B","CF451-D2-B")</f>
        <v>CF451-D2-B</v>
      </c>
      <c r="C32" s="50"/>
      <c r="D32" s="50"/>
      <c r="E32" s="50"/>
      <c r="F32" s="50"/>
      <c r="G32" s="50"/>
      <c r="H32" s="186"/>
      <c r="I32" s="81">
        <f t="shared" si="1"/>
        <v>0</v>
      </c>
      <c r="J32" s="86"/>
      <c r="K32" s="80"/>
      <c r="L32" s="50"/>
      <c r="M32" s="106" t="str">
        <f>HYPERLINK("https://www.youtube.com/watch?v=I_WHkB7Aeeo","Video Solution - Solver to be (Java)")</f>
        <v>Video Solution - Solver to be (Java)</v>
      </c>
    </row>
    <row r="33">
      <c r="A33" s="129" t="s">
        <v>414</v>
      </c>
      <c r="B33" s="203" t="str">
        <f>HYPERLINK("http://codeforces.com/contest/810/problem/B","CF810-D2-B")</f>
        <v>CF810-D2-B</v>
      </c>
      <c r="C33" s="50"/>
      <c r="D33" s="50"/>
      <c r="E33" s="50"/>
      <c r="F33" s="50"/>
      <c r="G33" s="50"/>
      <c r="H33" s="186"/>
      <c r="I33" s="81">
        <f t="shared" si="1"/>
        <v>0</v>
      </c>
      <c r="J33" s="86"/>
      <c r="K33" s="80"/>
      <c r="L33" s="50"/>
      <c r="M33" s="106" t="str">
        <f>HYPERLINK("https://www.youtube.com/watch?v=cFqla_dXSBs","Video Solution - Solver to be (Java)")</f>
        <v>Video Solution - Solver to be (Java)</v>
      </c>
    </row>
    <row r="34">
      <c r="A34" s="107" t="s">
        <v>415</v>
      </c>
      <c r="B34" s="202" t="str">
        <f>HYPERLINK("http://codeforces.com/contest/79/problem/B","CF79-D12-B")</f>
        <v>CF79-D12-B</v>
      </c>
      <c r="C34" s="50"/>
      <c r="D34" s="50"/>
      <c r="E34" s="50"/>
      <c r="F34" s="50"/>
      <c r="G34" s="50"/>
      <c r="H34" s="186"/>
      <c r="I34" s="81">
        <f t="shared" si="1"/>
        <v>0</v>
      </c>
      <c r="J34" s="86"/>
      <c r="K34" s="80"/>
      <c r="L34" s="50"/>
      <c r="M34" s="106" t="str">
        <f>HYPERLINK("https://www.youtube.com/watch?v=QIANdSy3nQg","Video Solution - Solver to be (Java)")</f>
        <v>Video Solution - Solver to be (Java)</v>
      </c>
    </row>
    <row r="35">
      <c r="A35" s="107" t="s">
        <v>225</v>
      </c>
      <c r="B35" s="202" t="str">
        <f>HYPERLINK("http://codeforces.com/contest/88/problem/B","CF88-D2-B")</f>
        <v>CF88-D2-B</v>
      </c>
      <c r="C35" s="50"/>
      <c r="D35" s="50"/>
      <c r="E35" s="50"/>
      <c r="F35" s="50"/>
      <c r="G35" s="50"/>
      <c r="H35" s="186"/>
      <c r="I35" s="81">
        <f t="shared" si="1"/>
        <v>0</v>
      </c>
      <c r="J35" s="86"/>
      <c r="K35" s="80"/>
      <c r="L35" s="50"/>
      <c r="M35" s="106" t="str">
        <f>HYPERLINK("https://www.youtube.com/watch?v=IlM9o1-xgE4&amp;feature=youtu.be","Video Solution - Eng Muntaser Abukadeja")</f>
        <v>Video Solution - Eng Muntaser Abukadeja</v>
      </c>
    </row>
    <row r="36">
      <c r="A36" s="129" t="s">
        <v>416</v>
      </c>
      <c r="B36" s="203" t="str">
        <f>HYPERLINK("http://codeforces.com/contest/766/problem/B","CF766-D2-B")</f>
        <v>CF766-D2-B</v>
      </c>
      <c r="C36" s="50"/>
      <c r="D36" s="50"/>
      <c r="E36" s="50"/>
      <c r="F36" s="50"/>
      <c r="G36" s="50"/>
      <c r="H36" s="186"/>
      <c r="I36" s="81">
        <f t="shared" si="1"/>
        <v>0</v>
      </c>
      <c r="J36" s="86"/>
      <c r="K36" s="80"/>
      <c r="L36" s="50"/>
      <c r="M36" s="106" t="str">
        <f>HYPERLINK("https://www.youtube.com/watch?v=dCChUGZjaS4","Video Solution - Solver to be (Java)")</f>
        <v>Video Solution - Solver to be (Java)</v>
      </c>
    </row>
    <row r="37">
      <c r="A37" s="189"/>
      <c r="B37" s="190"/>
      <c r="C37" s="185"/>
      <c r="D37" s="185"/>
      <c r="E37" s="185"/>
      <c r="F37" s="185"/>
      <c r="G37" s="185"/>
      <c r="H37" s="186"/>
      <c r="I37" s="81">
        <f t="shared" si="1"/>
        <v>0</v>
      </c>
      <c r="J37" s="86"/>
      <c r="K37" s="80"/>
      <c r="L37" s="185"/>
      <c r="M37" s="191"/>
    </row>
    <row r="38">
      <c r="A38" s="189"/>
      <c r="B38" s="190"/>
      <c r="C38" s="185"/>
      <c r="D38" s="185"/>
      <c r="E38" s="185"/>
      <c r="F38" s="185"/>
      <c r="G38" s="185"/>
      <c r="H38" s="186"/>
      <c r="I38" s="81">
        <f t="shared" si="1"/>
        <v>0</v>
      </c>
      <c r="J38" s="86"/>
      <c r="K38" s="80"/>
      <c r="L38" s="185"/>
      <c r="M38" s="191" t="str">
        <f>HYPERLINK("https://www.youtube.com/watch?v=COB1GHq0YwY","Watch - Graph Theory - BFS")</f>
        <v>Watch - Graph Theory - BFS</v>
      </c>
    </row>
    <row r="39">
      <c r="A39" s="146" t="s">
        <v>417</v>
      </c>
      <c r="B39" s="194" t="str">
        <f>HYPERLINK("http://www.spoj.com/problems/TOE1/","SPOJ TOE1")</f>
        <v>SPOJ TOE1</v>
      </c>
      <c r="C39" s="185"/>
      <c r="D39" s="185"/>
      <c r="E39" s="185"/>
      <c r="F39" s="185"/>
      <c r="G39" s="185"/>
      <c r="H39" s="186"/>
      <c r="I39" s="81">
        <f t="shared" si="1"/>
        <v>0</v>
      </c>
      <c r="J39" s="86"/>
      <c r="K39" s="80"/>
      <c r="L39" s="185"/>
      <c r="M39" s="106" t="str">
        <f>HYPERLINK("https://www.youtube.com/watch?v=VM2c3csK3Ps","Video Solution - Eng Ayman Salah")</f>
        <v>Video Solution - Eng Ayman Salah</v>
      </c>
    </row>
    <row r="40">
      <c r="A40" s="146" t="s">
        <v>418</v>
      </c>
      <c r="B40" s="194" t="str">
        <f>HYPERLINK("http://www.spoj.com/problems/TOE2/","SPOJ TOE2")</f>
        <v>SPOJ TOE2</v>
      </c>
      <c r="C40" s="185"/>
      <c r="D40" s="185"/>
      <c r="E40" s="185"/>
      <c r="F40" s="185"/>
      <c r="G40" s="185"/>
      <c r="H40" s="186"/>
      <c r="I40" s="81">
        <f t="shared" si="1"/>
        <v>0</v>
      </c>
      <c r="J40" s="86"/>
      <c r="K40" s="80"/>
      <c r="L40" s="185"/>
      <c r="M40" s="106" t="str">
        <f>HYPERLINK("https://www.youtube.com/watch?v=LleR_xaCfMY&amp;feature=youtu.be","Video Solution - Eng Essam AlNaggar")</f>
        <v>Video Solution - Eng Essam AlNaggar</v>
      </c>
    </row>
    <row r="41">
      <c r="A41" s="146" t="s">
        <v>419</v>
      </c>
      <c r="B41" s="194" t="str">
        <f>HYPERLINK("https://uva.onlinejudge.org/index.php?option=com_onlinejudge&amp;Itemid=8&amp;page=show_problem&amp;problem=380","UVA 439")</f>
        <v>UVA 439</v>
      </c>
      <c r="C41" s="185"/>
      <c r="D41" s="185"/>
      <c r="E41" s="185"/>
      <c r="F41" s="185"/>
      <c r="G41" s="185"/>
      <c r="H41" s="186"/>
      <c r="I41" s="81">
        <f t="shared" si="1"/>
        <v>0</v>
      </c>
      <c r="J41" s="86"/>
      <c r="K41" s="80"/>
      <c r="L41" s="185"/>
      <c r="M41" s="106" t="str">
        <f>HYPERLINK("https://www.youtube.com/watch?v=_S7BCbISrdo&amp;feature=youtu.be","Video Solution - Eng Magdy Hasan")</f>
        <v>Video Solution - Eng Magdy Hasan</v>
      </c>
    </row>
    <row r="42">
      <c r="A42" s="146" t="s">
        <v>420</v>
      </c>
      <c r="B42" s="194" t="str">
        <f>HYPERLINK("http://codeforces.com/contest/242/problem/C","CF242-D2-C")</f>
        <v>CF242-D2-C</v>
      </c>
      <c r="C42" s="185"/>
      <c r="D42" s="185"/>
      <c r="E42" s="185"/>
      <c r="F42" s="185"/>
      <c r="G42" s="185"/>
      <c r="H42" s="186"/>
      <c r="I42" s="81">
        <f t="shared" si="1"/>
        <v>0</v>
      </c>
      <c r="J42" s="86"/>
      <c r="K42" s="80"/>
      <c r="L42" s="185"/>
      <c r="M42" s="106" t="str">
        <f>HYPERLINK("https://www.youtube.com/watch?v=KmxeOFQ_4Rw","Video Solution - Dr Mostafa Saad")</f>
        <v>Video Solution - Dr Mostafa Saad</v>
      </c>
    </row>
    <row r="43">
      <c r="A43" s="138" t="s">
        <v>421</v>
      </c>
      <c r="B43" s="204" t="s">
        <v>422</v>
      </c>
      <c r="C43" s="185"/>
      <c r="D43" s="185"/>
      <c r="E43" s="185"/>
      <c r="F43" s="185"/>
      <c r="G43" s="185"/>
      <c r="H43" s="186"/>
      <c r="I43" s="81">
        <f t="shared" si="1"/>
        <v>0</v>
      </c>
      <c r="J43" s="86"/>
      <c r="K43" s="80"/>
      <c r="L43" s="185"/>
      <c r="M43" s="106" t="str">
        <f>HYPERLINK("http://xoptutorials.com/index.php/2017/01/01/timus1638/","Can you get AC first submission")</f>
        <v>Can you get AC first submission</v>
      </c>
    </row>
    <row r="44">
      <c r="A44" s="138"/>
      <c r="B44" s="205" t="s">
        <v>423</v>
      </c>
      <c r="C44" s="185"/>
      <c r="D44" s="185"/>
      <c r="E44" s="185"/>
      <c r="F44" s="185"/>
      <c r="G44" s="185"/>
      <c r="H44" s="186"/>
      <c r="I44" s="81">
        <f t="shared" si="1"/>
        <v>0</v>
      </c>
      <c r="J44" s="86"/>
      <c r="K44" s="80"/>
      <c r="L44" s="185"/>
      <c r="M44" s="206" t="s">
        <v>424</v>
      </c>
    </row>
    <row r="45">
      <c r="A45" s="189"/>
      <c r="B45" s="205" t="s">
        <v>425</v>
      </c>
      <c r="C45" s="185"/>
      <c r="D45" s="185"/>
      <c r="E45" s="185"/>
      <c r="F45" s="185"/>
      <c r="G45" s="185"/>
      <c r="H45" s="186"/>
      <c r="I45" s="81">
        <f t="shared" si="1"/>
        <v>0</v>
      </c>
      <c r="J45" s="86"/>
      <c r="K45" s="80"/>
      <c r="L45" s="185"/>
      <c r="M45" s="207" t="str">
        <f>HYPERLINK("https://github.com/Ownography/CP/blob/master/SPOJ%20POSTERIN", "Sol")</f>
        <v>Sol</v>
      </c>
    </row>
    <row r="46">
      <c r="A46" s="189"/>
      <c r="B46" s="190"/>
      <c r="C46" s="185"/>
      <c r="D46" s="185"/>
      <c r="E46" s="185"/>
      <c r="F46" s="185"/>
      <c r="G46" s="185"/>
      <c r="H46" s="186"/>
      <c r="I46" s="81">
        <f t="shared" si="1"/>
        <v>0</v>
      </c>
      <c r="J46" s="86"/>
      <c r="K46" s="80"/>
      <c r="L46" s="185"/>
      <c r="M46" s="151"/>
    </row>
    <row r="47">
      <c r="A47" s="192" t="s">
        <v>426</v>
      </c>
      <c r="B47" s="64" t="str">
        <f>HYPERLINK("http://codeforces.com/contest/129/problem/B","CF129-D2-B")</f>
        <v>CF129-D2-B</v>
      </c>
      <c r="C47" s="185"/>
      <c r="D47" s="185"/>
      <c r="E47" s="185"/>
      <c r="F47" s="185"/>
      <c r="G47" s="185"/>
      <c r="H47" s="186"/>
      <c r="I47" s="81">
        <f t="shared" si="1"/>
        <v>0</v>
      </c>
      <c r="J47" s="86"/>
      <c r="K47" s="80"/>
      <c r="L47" s="185"/>
      <c r="M47" s="106" t="str">
        <f>HYPERLINK("https://www.youtube.com/watch?v=si51JINxbpk&amp;feature=youtu.be","Video Solution - Eng Abanob Ashraf")</f>
        <v>Video Solution - Eng Abanob Ashraf</v>
      </c>
    </row>
    <row r="48">
      <c r="A48" s="192" t="s">
        <v>427</v>
      </c>
      <c r="B48" s="64" t="str">
        <f>HYPERLINK("http://codeforces.com/contest/476/problem/B","CF476-D2-B")</f>
        <v>CF476-D2-B</v>
      </c>
      <c r="C48" s="185"/>
      <c r="D48" s="185"/>
      <c r="E48" s="185"/>
      <c r="F48" s="185"/>
      <c r="G48" s="185"/>
      <c r="H48" s="186"/>
      <c r="I48" s="81">
        <f t="shared" si="1"/>
        <v>0</v>
      </c>
      <c r="J48" s="86"/>
      <c r="K48" s="80"/>
      <c r="L48" s="185"/>
      <c r="M48" s="106" t="str">
        <f>HYPERLINK("https://www.youtube.com/watch?v=uzA2fH9Ol7I&amp;feature=youtu.be","Video Solution - Eng Mohamed Adel")</f>
        <v>Video Solution - Eng Mohamed Adel</v>
      </c>
    </row>
    <row r="49">
      <c r="A49" s="192" t="s">
        <v>428</v>
      </c>
      <c r="B49" s="64" t="str">
        <f>HYPERLINK("http://codeforces.com/contest/469/problem/B","CF469-D2-B")</f>
        <v>CF469-D2-B</v>
      </c>
      <c r="C49" s="185"/>
      <c r="D49" s="185"/>
      <c r="E49" s="185"/>
      <c r="F49" s="185"/>
      <c r="G49" s="185"/>
      <c r="H49" s="186"/>
      <c r="I49" s="81">
        <f t="shared" si="1"/>
        <v>0</v>
      </c>
      <c r="J49" s="86"/>
      <c r="K49" s="80"/>
      <c r="L49" s="185"/>
      <c r="M49" s="106" t="str">
        <f>HYPERLINK("https://www.youtube.com/watch?v=7ns-xfWB-8g","Video Solution - Eng Mohamed Adel")</f>
        <v>Video Solution - Eng Mohamed Adel</v>
      </c>
    </row>
    <row r="50">
      <c r="A50" s="192" t="s">
        <v>429</v>
      </c>
      <c r="B50" s="64" t="str">
        <f>HYPERLINK("http://codeforces.com/contest/215/problem/B","CF215-D2-B")</f>
        <v>CF215-D2-B</v>
      </c>
      <c r="C50" s="185"/>
      <c r="D50" s="185"/>
      <c r="E50" s="185"/>
      <c r="F50" s="185"/>
      <c r="G50" s="185"/>
      <c r="H50" s="186"/>
      <c r="I50" s="81">
        <f t="shared" si="1"/>
        <v>0</v>
      </c>
      <c r="J50" s="86"/>
      <c r="K50" s="80"/>
      <c r="L50" s="185"/>
      <c r="M50" s="208" t="str">
        <f>HYPERLINK("https://www.youtube.com/watch?v=9PMRkDH1SAY&amp;t=4s","Video Solution - Eng Ahmed Salah")</f>
        <v>Video Solution - Eng Ahmed Salah</v>
      </c>
    </row>
    <row r="51">
      <c r="A51" s="192" t="s">
        <v>430</v>
      </c>
      <c r="B51" s="64" t="str">
        <f>HYPERLINK("http://codeforces.com/contest/714/problem/B","CF714-D2-B")</f>
        <v>CF714-D2-B</v>
      </c>
      <c r="C51" s="185"/>
      <c r="D51" s="185"/>
      <c r="E51" s="185"/>
      <c r="F51" s="185"/>
      <c r="G51" s="185"/>
      <c r="H51" s="186"/>
      <c r="I51" s="81">
        <f t="shared" si="1"/>
        <v>0</v>
      </c>
      <c r="J51" s="86"/>
      <c r="K51" s="80"/>
      <c r="L51" s="185"/>
      <c r="M51" s="106" t="str">
        <f>HYPERLINK("https://www.youtube.com/watch?v=aDDoryh3x_g","Video Solution - Eng Muntaser Abukadeja")</f>
        <v>Video Solution - Eng Muntaser Abukadeja</v>
      </c>
    </row>
    <row r="52">
      <c r="A52" s="192" t="s">
        <v>431</v>
      </c>
      <c r="B52" s="64" t="str">
        <f>HYPERLINK("http://codeforces.com/contest/400/problem/B","CF400-D2-B")</f>
        <v>CF400-D2-B</v>
      </c>
      <c r="C52" s="185"/>
      <c r="D52" s="185"/>
      <c r="E52" s="185"/>
      <c r="F52" s="185"/>
      <c r="G52" s="185"/>
      <c r="H52" s="186"/>
      <c r="I52" s="81">
        <f t="shared" si="1"/>
        <v>0</v>
      </c>
      <c r="J52" s="86"/>
      <c r="K52" s="80"/>
      <c r="L52" s="185"/>
      <c r="M52" s="106" t="str">
        <f>HYPERLINK("https://www.youtube.com/watch?v=ZWL57YYKwUM&amp;t=1s","Video Solution - Eng Mohamed Salah")</f>
        <v>Video Solution - Eng Mohamed Salah</v>
      </c>
    </row>
    <row r="53">
      <c r="A53" s="192" t="s">
        <v>432</v>
      </c>
      <c r="B53" s="64" t="str">
        <f>HYPERLINK("http://codeforces.com/contest/152/problem/B","CF152-D2-B")</f>
        <v>CF152-D2-B</v>
      </c>
      <c r="C53" s="185"/>
      <c r="D53" s="185"/>
      <c r="E53" s="185"/>
      <c r="F53" s="185"/>
      <c r="G53" s="185"/>
      <c r="H53" s="186"/>
      <c r="I53" s="81">
        <f t="shared" si="1"/>
        <v>0</v>
      </c>
      <c r="J53" s="86"/>
      <c r="K53" s="80"/>
      <c r="L53" s="185"/>
      <c r="M53" s="106" t="str">
        <f>HYPERLINK("https://www.youtube.com/watch?v=PNB_OSbdCpQ&amp;feature=youtu.be","Video Solution - Eng Muntaser Abukadeja")</f>
        <v>Video Solution - Eng Muntaser Abukadeja</v>
      </c>
    </row>
    <row r="54">
      <c r="A54" s="192" t="s">
        <v>433</v>
      </c>
      <c r="B54" s="64" t="str">
        <f>HYPERLINK("http://codeforces.com/contest/186/problem/B","CF186-D2-B")</f>
        <v>CF186-D2-B</v>
      </c>
      <c r="C54" s="185"/>
      <c r="D54" s="185"/>
      <c r="E54" s="185"/>
      <c r="F54" s="185"/>
      <c r="G54" s="185"/>
      <c r="H54" s="186"/>
      <c r="I54" s="81">
        <f t="shared" si="1"/>
        <v>0</v>
      </c>
      <c r="J54" s="86"/>
      <c r="K54" s="80"/>
      <c r="L54" s="185"/>
      <c r="M54" s="106" t="str">
        <f>HYPERLINK("https://www.youtube.com/watch?v=WdzdNdsaku4","Video Solution - Eng Mohamed Salah")</f>
        <v>Video Solution - Eng Mohamed Salah</v>
      </c>
    </row>
    <row r="55">
      <c r="A55" s="107" t="s">
        <v>434</v>
      </c>
      <c r="B55" s="202" t="str">
        <f>HYPERLINK("http://codeforces.com/contest/148/problem/B","CF148-D2-B")</f>
        <v>CF148-D2-B</v>
      </c>
      <c r="C55" s="185"/>
      <c r="D55" s="185"/>
      <c r="E55" s="185"/>
      <c r="F55" s="185"/>
      <c r="G55" s="185"/>
      <c r="H55" s="186"/>
      <c r="I55" s="81">
        <f t="shared" si="1"/>
        <v>0</v>
      </c>
      <c r="J55" s="86"/>
      <c r="K55" s="80"/>
      <c r="L55" s="185"/>
      <c r="M55" s="208" t="str">
        <f>HYPERLINK("https://www.youtube.com/watch?v=IVVN9u6PGJM&amp;feature=youtu.be#_=_","Video Solution - Eng Ahmed Salah")</f>
        <v>Video Solution - Eng Ahmed Salah</v>
      </c>
    </row>
    <row r="56">
      <c r="A56" s="189"/>
      <c r="B56" s="190"/>
      <c r="C56" s="185"/>
      <c r="D56" s="185"/>
      <c r="E56" s="185"/>
      <c r="F56" s="185"/>
      <c r="G56" s="185"/>
      <c r="H56" s="186"/>
      <c r="I56" s="81"/>
      <c r="J56" s="86"/>
      <c r="K56" s="80"/>
      <c r="L56" s="185"/>
      <c r="M56" s="209" t="s">
        <v>435</v>
      </c>
    </row>
    <row r="57">
      <c r="A57" s="189"/>
      <c r="B57" s="190"/>
      <c r="C57" s="185"/>
      <c r="D57" s="185"/>
      <c r="E57" s="185"/>
      <c r="F57" s="185"/>
      <c r="G57" s="185"/>
      <c r="H57" s="186"/>
      <c r="I57" s="81">
        <f>SUM(E57:H57)</f>
        <v>0</v>
      </c>
      <c r="J57" s="86"/>
      <c r="K57" s="80"/>
      <c r="L57" s="185"/>
      <c r="M57" s="209" t="s">
        <v>436</v>
      </c>
    </row>
    <row r="58">
      <c r="A58" s="189"/>
      <c r="B58" s="190"/>
      <c r="C58" s="185"/>
      <c r="D58" s="185"/>
      <c r="E58" s="185"/>
      <c r="F58" s="185"/>
      <c r="G58" s="185"/>
      <c r="H58" s="186"/>
      <c r="I58" s="81"/>
      <c r="J58" s="86"/>
      <c r="K58" s="80"/>
      <c r="L58" s="185"/>
      <c r="M58" s="209"/>
    </row>
    <row r="59">
      <c r="A59" s="189"/>
      <c r="B59" s="190"/>
      <c r="C59" s="185"/>
      <c r="D59" s="185"/>
      <c r="E59" s="185"/>
      <c r="F59" s="185"/>
      <c r="G59" s="185"/>
      <c r="H59" s="186"/>
      <c r="I59" s="81">
        <f t="shared" ref="I59:I133" si="2">SUM(E59:H59)</f>
        <v>0</v>
      </c>
      <c r="J59" s="86"/>
      <c r="K59" s="80"/>
      <c r="L59" s="185"/>
      <c r="M59" s="191" t="str">
        <f>HYPERLINK("https://www.youtube.com/watch?v=gFdP6X4CyKU","Watch - Intro to DP - 1")</f>
        <v>Watch - Intro to DP - 1</v>
      </c>
    </row>
    <row r="60">
      <c r="A60" s="189"/>
      <c r="B60" s="190"/>
      <c r="C60" s="185"/>
      <c r="D60" s="185"/>
      <c r="E60" s="185"/>
      <c r="F60" s="185"/>
      <c r="G60" s="185"/>
      <c r="H60" s="186"/>
      <c r="I60" s="81">
        <f t="shared" si="2"/>
        <v>0</v>
      </c>
      <c r="J60" s="86"/>
      <c r="K60" s="80"/>
      <c r="L60" s="185"/>
      <c r="M60" s="191" t="str">
        <f>HYPERLINK("https://www.youtube.com/watch?v=1j3srLj-C5Q","Watch - Intro to DP - 2")</f>
        <v>Watch - Intro to DP - 2</v>
      </c>
    </row>
    <row r="61">
      <c r="A61" s="146" t="s">
        <v>437</v>
      </c>
      <c r="B61" s="210" t="str">
        <f>HYPERLINK("http://codeforces.com/contest/699/problem/C","CF699-D2-C")</f>
        <v>CF699-D2-C</v>
      </c>
      <c r="C61" s="50"/>
      <c r="D61" s="50"/>
      <c r="E61" s="50"/>
      <c r="F61" s="50"/>
      <c r="G61" s="50"/>
      <c r="H61" s="186"/>
      <c r="I61" s="81">
        <f t="shared" si="2"/>
        <v>0</v>
      </c>
      <c r="J61" s="86"/>
      <c r="K61" s="80"/>
      <c r="L61" s="50"/>
      <c r="M61" s="47"/>
    </row>
    <row r="62">
      <c r="A62" s="146" t="s">
        <v>438</v>
      </c>
      <c r="B62" s="210" t="str">
        <f>HYPERLINK("http://codeforces.com/contest/545/problem/C","CF545-D2-C")</f>
        <v>CF545-D2-C</v>
      </c>
      <c r="C62" s="50"/>
      <c r="D62" s="50"/>
      <c r="E62" s="50"/>
      <c r="F62" s="50"/>
      <c r="G62" s="50"/>
      <c r="H62" s="186"/>
      <c r="I62" s="81">
        <f t="shared" si="2"/>
        <v>0</v>
      </c>
      <c r="J62" s="86"/>
      <c r="K62" s="80"/>
      <c r="L62" s="50"/>
      <c r="M62" s="50"/>
    </row>
    <row r="63">
      <c r="A63" s="146" t="s">
        <v>439</v>
      </c>
      <c r="B63" s="194" t="str">
        <f>HYPERLINK("http://codeforces.com/contest/225/problem/C","CF225-D2-C")</f>
        <v>CF225-D2-C</v>
      </c>
      <c r="C63" s="185"/>
      <c r="D63" s="185"/>
      <c r="E63" s="185"/>
      <c r="F63" s="185"/>
      <c r="G63" s="185"/>
      <c r="H63" s="186"/>
      <c r="I63" s="81">
        <f t="shared" si="2"/>
        <v>0</v>
      </c>
      <c r="J63" s="86"/>
      <c r="K63" s="80"/>
      <c r="L63" s="185"/>
      <c r="M63" s="106" t="str">
        <f>HYPERLINK("https://www.youtube.com/watch?v=O7Tja1S5IYQ","Video Solution - Dr Mostafa Saad")</f>
        <v>Video Solution - Dr Mostafa Saad</v>
      </c>
    </row>
    <row r="64">
      <c r="A64" s="196" t="s">
        <v>440</v>
      </c>
      <c r="B64" s="211" t="str">
        <f>HYPERLINK("https://uva.onlinejudge.org/index.php?option=onlinejudge&amp;page=show_problem&amp;problem=2035","UVA 11094")</f>
        <v>UVA 11094</v>
      </c>
      <c r="C64" s="185"/>
      <c r="D64" s="185"/>
      <c r="E64" s="185"/>
      <c r="F64" s="185"/>
      <c r="G64" s="185"/>
      <c r="H64" s="186"/>
      <c r="I64" s="81">
        <f t="shared" si="2"/>
        <v>0</v>
      </c>
      <c r="J64" s="86"/>
      <c r="K64" s="80"/>
      <c r="L64" s="185"/>
      <c r="M64" s="106" t="str">
        <f>HYPERLINK("https://www.youtube.com/watch?v=vLuFqaQ40RI","Video Solution - Eng Ayman Salah")</f>
        <v>Video Solution - Eng Ayman Salah</v>
      </c>
    </row>
    <row r="65">
      <c r="A65" s="196" t="s">
        <v>441</v>
      </c>
      <c r="B65" s="197" t="str">
        <f>HYPERLINK("https://uva.onlinejudge.org/index.php?option=onlinejudge&amp;page=show_problem&amp;problem=1806","UVA 10865")</f>
        <v>UVA 10865</v>
      </c>
      <c r="C65" s="50"/>
      <c r="D65" s="50"/>
      <c r="E65" s="50"/>
      <c r="F65" s="50"/>
      <c r="G65" s="50"/>
      <c r="H65" s="127"/>
      <c r="I65" s="81">
        <f t="shared" si="2"/>
        <v>0</v>
      </c>
      <c r="J65" s="86"/>
      <c r="K65" s="80"/>
      <c r="L65" s="50"/>
      <c r="M65" s="162" t="str">
        <f>HYPERLINK("https://www.youtube.com/watch?v=VZ7kCc80C6o&amp;feature=youtu.be","Video Solution - Eng Magdy Hasan")</f>
        <v>Video Solution - Eng Magdy Hasan</v>
      </c>
    </row>
    <row r="66">
      <c r="A66" s="138" t="s">
        <v>442</v>
      </c>
      <c r="B66" s="199" t="str">
        <f>HYPERLINK("http://acm.timus.ru/problem.aspx?space=1&amp;num=1054","TIMUS 1054")</f>
        <v>TIMUS 1054</v>
      </c>
      <c r="C66" s="50"/>
      <c r="D66" s="50"/>
      <c r="E66" s="50"/>
      <c r="F66" s="50"/>
      <c r="G66" s="50"/>
      <c r="H66" s="127"/>
      <c r="I66" s="81">
        <f t="shared" si="2"/>
        <v>0</v>
      </c>
      <c r="J66" s="86"/>
      <c r="K66" s="80"/>
      <c r="L66" s="50"/>
      <c r="M66" s="162" t="str">
        <f>HYPERLINK("https://github.com/MeGaCrazy/CompetitiveProgramming/blob/9ebf16b4239c8f58c694f2ae22c8f07d1fa70864/Timus/TIMUS_1054.cpp","Sol")</f>
        <v>Sol</v>
      </c>
    </row>
    <row r="67">
      <c r="A67" s="189"/>
      <c r="B67" s="190"/>
      <c r="C67" s="185"/>
      <c r="D67" s="185"/>
      <c r="E67" s="185"/>
      <c r="F67" s="185"/>
      <c r="G67" s="185"/>
      <c r="H67" s="186"/>
      <c r="I67" s="81">
        <f t="shared" si="2"/>
        <v>0</v>
      </c>
      <c r="J67" s="86"/>
      <c r="K67" s="80"/>
      <c r="L67" s="185"/>
      <c r="M67" s="151"/>
    </row>
    <row r="68">
      <c r="A68" s="192" t="s">
        <v>443</v>
      </c>
      <c r="B68" s="64" t="str">
        <f>HYPERLINK("http://codeforces.com/contest/262/problem/B","CF262-D2-B")</f>
        <v>CF262-D2-B</v>
      </c>
      <c r="C68" s="185"/>
      <c r="D68" s="185"/>
      <c r="E68" s="185"/>
      <c r="F68" s="185"/>
      <c r="G68" s="185"/>
      <c r="H68" s="186"/>
      <c r="I68" s="81">
        <f t="shared" si="2"/>
        <v>0</v>
      </c>
      <c r="J68" s="86"/>
      <c r="K68" s="80"/>
      <c r="L68" s="185"/>
      <c r="M68" s="106" t="str">
        <f>HYPERLINK("https://www.youtube.com/watch?v=6Ic_MPWfhEg","Video Solution - Eng Mohamed Salah")</f>
        <v>Video Solution - Eng Mohamed Salah</v>
      </c>
    </row>
    <row r="69">
      <c r="A69" s="192" t="s">
        <v>444</v>
      </c>
      <c r="B69" s="64" t="str">
        <f>HYPERLINK("http://codeforces.com/contest/385/problem/B","CF385-D2-B")</f>
        <v>CF385-D2-B</v>
      </c>
      <c r="C69" s="185"/>
      <c r="D69" s="185"/>
      <c r="E69" s="185"/>
      <c r="F69" s="185"/>
      <c r="G69" s="185"/>
      <c r="H69" s="186"/>
      <c r="I69" s="81">
        <f t="shared" si="2"/>
        <v>0</v>
      </c>
      <c r="J69" s="86"/>
      <c r="K69" s="80"/>
      <c r="L69" s="185"/>
      <c r="M69" s="106" t="str">
        <f>HYPERLINK("https://www.youtube.com/watch?v=hTUYMzcMuvA","Video Solution - Eng Mohamed Salah")</f>
        <v>Video Solution - Eng Mohamed Salah</v>
      </c>
    </row>
    <row r="70">
      <c r="A70" s="192" t="s">
        <v>445</v>
      </c>
      <c r="B70" s="64" t="str">
        <f>HYPERLINK("http://codeforces.com/contest/376/problem/B","CF376-D2-B")</f>
        <v>CF376-D2-B</v>
      </c>
      <c r="C70" s="185"/>
      <c r="D70" s="185"/>
      <c r="E70" s="185"/>
      <c r="F70" s="185"/>
      <c r="G70" s="185"/>
      <c r="H70" s="186"/>
      <c r="I70" s="81">
        <f t="shared" si="2"/>
        <v>0</v>
      </c>
      <c r="J70" s="86"/>
      <c r="K70" s="80"/>
      <c r="L70" s="185"/>
      <c r="M70" s="106" t="str">
        <f>HYPERLINK("https://www.youtube.com/watch?v=d962qNWSvas&amp;feature=youtu.be","Video Solution - Eng Abanob Ashraf")</f>
        <v>Video Solution - Eng Abanob Ashraf</v>
      </c>
    </row>
    <row r="71">
      <c r="A71" s="192" t="s">
        <v>446</v>
      </c>
      <c r="B71" s="64" t="str">
        <f>HYPERLINK("http://codeforces.com/contest/352/problem/B","CF352-D2-B")</f>
        <v>CF352-D2-B</v>
      </c>
      <c r="C71" s="185"/>
      <c r="D71" s="185"/>
      <c r="E71" s="185"/>
      <c r="F71" s="185"/>
      <c r="G71" s="185"/>
      <c r="H71" s="186"/>
      <c r="I71" s="81">
        <f t="shared" si="2"/>
        <v>0</v>
      </c>
      <c r="J71" s="86"/>
      <c r="K71" s="80"/>
      <c r="L71" s="185"/>
      <c r="M71" s="106" t="str">
        <f>HYPERLINK("https://www.youtube.com/watch?v=7xgzxrYuwUc","Video Solution - Eng Muntaser Abukadeja")</f>
        <v>Video Solution - Eng Muntaser Abukadeja</v>
      </c>
    </row>
    <row r="72">
      <c r="A72" s="192" t="s">
        <v>447</v>
      </c>
      <c r="B72" s="212" t="str">
        <f>HYPERLINK("http://codeforces.com/contest/144/problem/B","CF144-D2-B")</f>
        <v>CF144-D2-B</v>
      </c>
      <c r="C72" s="185"/>
      <c r="D72" s="185"/>
      <c r="E72" s="185"/>
      <c r="F72" s="185"/>
      <c r="G72" s="185"/>
      <c r="H72" s="186"/>
      <c r="I72" s="81">
        <f t="shared" si="2"/>
        <v>0</v>
      </c>
      <c r="J72" s="86"/>
      <c r="K72" s="80"/>
      <c r="L72" s="185"/>
      <c r="M72" s="106" t="str">
        <f>HYPERLINK("https://www.youtube.com/watch?v=9fpKWAPudyo&amp;feature=youtu.be","Video Solution - Eng Muntaser Abukadeja")</f>
        <v>Video Solution - Eng Muntaser Abukadeja</v>
      </c>
    </row>
    <row r="73">
      <c r="A73" s="192" t="s">
        <v>448</v>
      </c>
      <c r="B73" s="64" t="str">
        <f>HYPERLINK("http://codeforces.com/contest/617/problem/B","CF617-D2-B")</f>
        <v>CF617-D2-B</v>
      </c>
      <c r="C73" s="185"/>
      <c r="D73" s="185"/>
      <c r="E73" s="185"/>
      <c r="F73" s="185"/>
      <c r="G73" s="185"/>
      <c r="H73" s="186"/>
      <c r="I73" s="81">
        <f t="shared" si="2"/>
        <v>0</v>
      </c>
      <c r="J73" s="86"/>
      <c r="K73" s="80"/>
      <c r="L73" s="185"/>
      <c r="M73" s="106" t="str">
        <f>HYPERLINK("https://www.youtube.com/watch?v=APkfGgJJVCc","Video Solution - Eng Yahia Ashraf")</f>
        <v>Video Solution - Eng Yahia Ashraf</v>
      </c>
    </row>
    <row r="74">
      <c r="A74" s="192" t="s">
        <v>449</v>
      </c>
      <c r="B74" s="64" t="str">
        <f>HYPERLINK("http://codeforces.com/contest/236/problem/B","CF236-D2-B")</f>
        <v>CF236-D2-B</v>
      </c>
      <c r="C74" s="185"/>
      <c r="D74" s="185"/>
      <c r="E74" s="185"/>
      <c r="F74" s="185"/>
      <c r="G74" s="185"/>
      <c r="H74" s="186"/>
      <c r="I74" s="81">
        <f t="shared" si="2"/>
        <v>0</v>
      </c>
      <c r="J74" s="86"/>
      <c r="K74" s="80"/>
      <c r="L74" s="185"/>
      <c r="M74" s="106" t="str">
        <f>HYPERLINK("https://www.youtube.com/watch?v=Tv2JpMqQWYg","Video Solution - Eng Yahia Ashraf")</f>
        <v>Video Solution - Eng Yahia Ashraf</v>
      </c>
    </row>
    <row r="75">
      <c r="A75" s="110" t="s">
        <v>450</v>
      </c>
      <c r="B75" s="213" t="str">
        <f>HYPERLINK("http://codeforces.com/contest/514/problem/B","CF514-D2-B")</f>
        <v>CF514-D2-B</v>
      </c>
      <c r="C75" s="50"/>
      <c r="D75" s="50"/>
      <c r="E75" s="50"/>
      <c r="F75" s="50"/>
      <c r="G75" s="50"/>
      <c r="H75" s="186"/>
      <c r="I75" s="81">
        <f t="shared" si="2"/>
        <v>0</v>
      </c>
      <c r="J75" s="86"/>
      <c r="K75" s="80"/>
      <c r="L75" s="50"/>
      <c r="M75" s="206" t="s">
        <v>451</v>
      </c>
    </row>
    <row r="76">
      <c r="A76" s="110" t="s">
        <v>452</v>
      </c>
      <c r="B76" s="213" t="str">
        <f>HYPERLINK("http://codeforces.com/contest/253/problem/B","CF253-D2-B")</f>
        <v>CF253-D2-B</v>
      </c>
      <c r="C76" s="50"/>
      <c r="D76" s="50"/>
      <c r="E76" s="50"/>
      <c r="F76" s="50"/>
      <c r="G76" s="50"/>
      <c r="H76" s="186"/>
      <c r="I76" s="81">
        <f t="shared" si="2"/>
        <v>0</v>
      </c>
      <c r="J76" s="86"/>
      <c r="K76" s="80"/>
      <c r="L76" s="50"/>
      <c r="M76" s="106" t="str">
        <f>HYPERLINK("https://www.youtube.com/watch?v=ZR0IxC_xoFk","Video Solution - Eng Mohamed Salah")</f>
        <v>Video Solution - Eng Mohamed Salah</v>
      </c>
    </row>
    <row r="77">
      <c r="A77" s="110" t="s">
        <v>453</v>
      </c>
      <c r="B77" s="213" t="str">
        <f>HYPERLINK("http://codeforces.com/contest/520/problem/B","CF520-D2-B")</f>
        <v>CF520-D2-B</v>
      </c>
      <c r="C77" s="50"/>
      <c r="D77" s="50"/>
      <c r="E77" s="50"/>
      <c r="F77" s="50"/>
      <c r="G77" s="50"/>
      <c r="H77" s="186"/>
      <c r="I77" s="81">
        <f t="shared" si="2"/>
        <v>0</v>
      </c>
      <c r="J77" s="86"/>
      <c r="K77" s="80"/>
      <c r="L77" s="50"/>
      <c r="M77" s="106" t="str">
        <f>HYPERLINK("https://www.youtube.com/watch?v=tMsOxSRU4Sk","Video Solution - Solver to be (Java)")</f>
        <v>Video Solution - Solver to be (Java)</v>
      </c>
    </row>
    <row r="78">
      <c r="A78" s="189"/>
      <c r="B78" s="190"/>
      <c r="C78" s="50"/>
      <c r="D78" s="50"/>
      <c r="E78" s="50"/>
      <c r="F78" s="50"/>
      <c r="G78" s="50"/>
      <c r="H78" s="186"/>
      <c r="I78" s="81">
        <f t="shared" si="2"/>
        <v>0</v>
      </c>
      <c r="J78" s="86"/>
      <c r="K78" s="80"/>
      <c r="L78" s="185"/>
      <c r="M78" s="191"/>
    </row>
    <row r="79">
      <c r="A79" s="189"/>
      <c r="B79" s="190"/>
      <c r="C79" s="185"/>
      <c r="D79" s="185"/>
      <c r="E79" s="185"/>
      <c r="F79" s="185"/>
      <c r="G79" s="185"/>
      <c r="H79" s="186"/>
      <c r="I79" s="81">
        <f t="shared" si="2"/>
        <v>0</v>
      </c>
      <c r="J79" s="86"/>
      <c r="K79" s="80"/>
      <c r="L79" s="185"/>
      <c r="M79" s="191" t="str">
        <f>HYPERLINK("https://www.youtube.com/watch?v=dcMtSmWHLP4","Watch - Computational Geometry - Complex Number and 2D Point")</f>
        <v>Watch - Computational Geometry - Complex Number and 2D Point</v>
      </c>
    </row>
    <row r="80">
      <c r="A80" s="189"/>
      <c r="B80" s="190"/>
      <c r="C80" s="185"/>
      <c r="D80" s="185"/>
      <c r="E80" s="185"/>
      <c r="F80" s="185"/>
      <c r="G80" s="185"/>
      <c r="H80" s="186"/>
      <c r="I80" s="81">
        <f t="shared" si="2"/>
        <v>0</v>
      </c>
      <c r="J80" s="86"/>
      <c r="K80" s="80"/>
      <c r="L80" s="185"/>
      <c r="M80" s="191" t="str">
        <f>HYPERLINK("https://www.youtube.com/watch?v=1Vi2h7dKdEQ","Watch - Computational Geometry - Lines and Distances")</f>
        <v>Watch - Computational Geometry - Lines and Distances</v>
      </c>
    </row>
    <row r="81">
      <c r="A81" s="146" t="s">
        <v>454</v>
      </c>
      <c r="B81" s="194" t="str">
        <f>HYPERLINK("https://uva.onlinejudge.org/index.php?option=com_onlinejudge&amp;Itemid=8&amp;page=show_problem&amp;problem=314","UVA 378")</f>
        <v>UVA 378</v>
      </c>
      <c r="C81" s="185"/>
      <c r="D81" s="185"/>
      <c r="E81" s="185"/>
      <c r="F81" s="185"/>
      <c r="G81" s="185"/>
      <c r="H81" s="186"/>
      <c r="I81" s="81">
        <f t="shared" si="2"/>
        <v>0</v>
      </c>
      <c r="J81" s="86"/>
      <c r="K81" s="80"/>
      <c r="L81" s="185"/>
      <c r="M81" s="151"/>
    </row>
    <row r="82">
      <c r="A82" s="196" t="s">
        <v>455</v>
      </c>
      <c r="B82" s="211" t="str">
        <f>HYPERLINK("https://uva.onlinejudge.org/index.php?option=com_onlinejudge&amp;Itemid=8&amp;page=show_problem&amp;problem=1018","UVA 10077")</f>
        <v>UVA 10077</v>
      </c>
      <c r="C82" s="185"/>
      <c r="D82" s="185"/>
      <c r="E82" s="185"/>
      <c r="F82" s="185"/>
      <c r="G82" s="185"/>
      <c r="H82" s="186"/>
      <c r="I82" s="81">
        <f t="shared" si="2"/>
        <v>0</v>
      </c>
      <c r="J82" s="86"/>
      <c r="K82" s="80"/>
      <c r="L82" s="185"/>
      <c r="M82" s="151"/>
    </row>
    <row r="83">
      <c r="A83" s="196" t="s">
        <v>456</v>
      </c>
      <c r="B83" s="197" t="str">
        <f>HYPERLINK("http://codeforces.com/contest/505/problem/B","CF505-D2-B")</f>
        <v>CF505-D2-B</v>
      </c>
      <c r="C83" s="185"/>
      <c r="D83" s="185"/>
      <c r="E83" s="185"/>
      <c r="F83" s="185"/>
      <c r="G83" s="185"/>
      <c r="H83" s="186"/>
      <c r="I83" s="81">
        <f t="shared" si="2"/>
        <v>0</v>
      </c>
      <c r="J83" s="117"/>
      <c r="K83" s="116"/>
      <c r="L83" s="50"/>
      <c r="M83" s="214" t="str">
        <f>HYPERLINK("https://www.youtube.com/watch?v=4516VTXcDJM&amp;feature=youtu.be","Video Solution - Eng Muntaser Abukadeja")</f>
        <v>Video Solution - Eng Muntaser Abukadeja</v>
      </c>
    </row>
    <row r="84">
      <c r="A84" s="189"/>
      <c r="B84" s="190"/>
      <c r="C84" s="185"/>
      <c r="D84" s="185"/>
      <c r="E84" s="185"/>
      <c r="F84" s="185"/>
      <c r="G84" s="185"/>
      <c r="H84" s="186"/>
      <c r="I84" s="81">
        <f t="shared" si="2"/>
        <v>0</v>
      </c>
      <c r="J84" s="86"/>
      <c r="K84" s="80"/>
      <c r="L84" s="185"/>
      <c r="M84" s="110"/>
    </row>
    <row r="85">
      <c r="A85" s="192" t="s">
        <v>457</v>
      </c>
      <c r="B85" s="64" t="str">
        <f>HYPERLINK("http://codeforces.com/contest/445/problem/B","CF445-D2-B")</f>
        <v>CF445-D2-B</v>
      </c>
      <c r="C85" s="185"/>
      <c r="D85" s="185"/>
      <c r="E85" s="185"/>
      <c r="F85" s="185"/>
      <c r="G85" s="185"/>
      <c r="H85" s="186"/>
      <c r="I85" s="81">
        <f t="shared" si="2"/>
        <v>0</v>
      </c>
      <c r="J85" s="86"/>
      <c r="K85" s="80"/>
      <c r="L85" s="185"/>
      <c r="M85" s="206" t="s">
        <v>458</v>
      </c>
    </row>
    <row r="86">
      <c r="A86" s="192" t="s">
        <v>459</v>
      </c>
      <c r="B86" s="64" t="str">
        <f>HYPERLINK("http://codeforces.com/contest/584/problem/B","CF584-D2-B")</f>
        <v>CF584-D2-B</v>
      </c>
      <c r="C86" s="185"/>
      <c r="D86" s="185"/>
      <c r="E86" s="185"/>
      <c r="F86" s="185"/>
      <c r="G86" s="185"/>
      <c r="H86" s="186"/>
      <c r="I86" s="81">
        <f t="shared" si="2"/>
        <v>0</v>
      </c>
      <c r="J86" s="86"/>
      <c r="K86" s="80"/>
      <c r="L86" s="185"/>
      <c r="M86" s="106" t="str">
        <f>HYPERLINK("https://www.youtube.com/watch?v=-Dh_FyJiJ9Q","Video Solution - Eng Yahia Ashraf")</f>
        <v>Video Solution - Eng Yahia Ashraf</v>
      </c>
    </row>
    <row r="87">
      <c r="A87" s="192" t="s">
        <v>460</v>
      </c>
      <c r="B87" s="64" t="str">
        <f>HYPERLINK("http://codeforces.com/contest/448/problem/B","CF448-D2-B")</f>
        <v>CF448-D2-B</v>
      </c>
      <c r="C87" s="185"/>
      <c r="D87" s="185"/>
      <c r="E87" s="185"/>
      <c r="F87" s="185"/>
      <c r="G87" s="185"/>
      <c r="H87" s="186"/>
      <c r="I87" s="81">
        <f t="shared" si="2"/>
        <v>0</v>
      </c>
      <c r="J87" s="86"/>
      <c r="K87" s="80"/>
      <c r="L87" s="185"/>
      <c r="M87" s="106" t="str">
        <f>HYPERLINK("https://www.youtube.com/watch?v=-J0VaYdgbRc","Video Solution - Eng Mohamed Salah")</f>
        <v>Video Solution - Eng Mohamed Salah</v>
      </c>
    </row>
    <row r="88">
      <c r="A88" s="192" t="s">
        <v>461</v>
      </c>
      <c r="B88" s="64" t="str">
        <f>HYPERLINK("http://codeforces.com/contest/716/problem/B","CF716-D2-B")</f>
        <v>CF716-D2-B</v>
      </c>
      <c r="C88" s="185"/>
      <c r="D88" s="185"/>
      <c r="E88" s="185"/>
      <c r="F88" s="185"/>
      <c r="G88" s="185"/>
      <c r="H88" s="186"/>
      <c r="I88" s="81">
        <f t="shared" si="2"/>
        <v>0</v>
      </c>
      <c r="J88" s="86"/>
      <c r="K88" s="80"/>
      <c r="L88" s="185"/>
      <c r="M88" s="106" t="str">
        <f>HYPERLINK("https://www.youtube.com/watch?v=lu6BhwVMNhw","Video Solution - Eng Mohamed Salah")</f>
        <v>Video Solution - Eng Mohamed Salah</v>
      </c>
    </row>
    <row r="89">
      <c r="A89" s="192" t="s">
        <v>462</v>
      </c>
      <c r="B89" s="64" t="str">
        <f>HYPERLINK("http://codeforces.com/contest/544/problem/B","CF544-D2-B")</f>
        <v>CF544-D2-B</v>
      </c>
      <c r="C89" s="185"/>
      <c r="D89" s="185"/>
      <c r="E89" s="185"/>
      <c r="F89" s="185"/>
      <c r="G89" s="185"/>
      <c r="H89" s="186"/>
      <c r="I89" s="81">
        <f t="shared" si="2"/>
        <v>0</v>
      </c>
      <c r="J89" s="86"/>
      <c r="K89" s="80"/>
      <c r="L89" s="185"/>
      <c r="M89" s="106" t="str">
        <f>HYPERLINK("https://www.youtube.com/watch?v=7MC9PFQTlxs","Video Solution - Eng Mohamed Salah")</f>
        <v>Video Solution - Eng Mohamed Salah</v>
      </c>
    </row>
    <row r="90">
      <c r="A90" s="110" t="s">
        <v>463</v>
      </c>
      <c r="B90" s="213" t="str">
        <f>HYPERLINK("http://codeforces.com/contest/141/problem/B","CF141-D2-B")</f>
        <v>CF141-D2-B</v>
      </c>
      <c r="C90" s="50"/>
      <c r="D90" s="50"/>
      <c r="E90" s="50"/>
      <c r="F90" s="50"/>
      <c r="G90" s="50"/>
      <c r="H90" s="186"/>
      <c r="I90" s="81">
        <f t="shared" si="2"/>
        <v>0</v>
      </c>
      <c r="J90" s="86"/>
      <c r="K90" s="80"/>
      <c r="L90" s="50"/>
      <c r="M90" s="106" t="str">
        <f>HYPERLINK("https://www.youtube.com/watch?v=edI2c3Myaek&amp;feature=youtu.be","Video Solution - Eng Yahia Ashraf")</f>
        <v>Video Solution - Eng Yahia Ashraf</v>
      </c>
    </row>
    <row r="91">
      <c r="A91" s="110" t="s">
        <v>464</v>
      </c>
      <c r="B91" s="213" t="str">
        <f>HYPERLINK("http://codeforces.com/contest/369/problem/B","CF369-D2-B")</f>
        <v>CF369-D2-B</v>
      </c>
      <c r="C91" s="50"/>
      <c r="D91" s="50"/>
      <c r="E91" s="50"/>
      <c r="F91" s="50"/>
      <c r="G91" s="50"/>
      <c r="H91" s="186"/>
      <c r="I91" s="81">
        <f t="shared" si="2"/>
        <v>0</v>
      </c>
      <c r="J91" s="86"/>
      <c r="K91" s="80"/>
      <c r="L91" s="50"/>
      <c r="M91" s="106" t="str">
        <f>HYPERLINK("https://www.youtube.com/watch?v=1CHX-WYiQvA","Video Solution - Eng Yahia Ashraf")</f>
        <v>Video Solution - Eng Yahia Ashraf</v>
      </c>
    </row>
    <row r="92">
      <c r="A92" s="215" t="s">
        <v>465</v>
      </c>
      <c r="B92" s="216" t="str">
        <f>HYPERLINK("http://codeforces.com/contest/791/problem/B","CF791-D2-B")</f>
        <v>CF791-D2-B</v>
      </c>
      <c r="C92" s="72"/>
      <c r="D92" s="86"/>
      <c r="E92" s="86"/>
      <c r="F92" s="86"/>
      <c r="G92" s="86"/>
      <c r="H92" s="81"/>
      <c r="I92" s="81">
        <f t="shared" si="2"/>
        <v>0</v>
      </c>
      <c r="J92" s="86"/>
      <c r="K92" s="80"/>
      <c r="L92" s="86"/>
      <c r="M92" s="106" t="str">
        <f>HYPERLINK("https://www.youtube.com/watch?v=3tVJoeUE0Ag&amp;feature=youtu.be","Video Solution - Eng Mohamed Salah")</f>
        <v>Video Solution - Eng Mohamed Salah</v>
      </c>
    </row>
    <row r="93">
      <c r="A93" s="107" t="s">
        <v>466</v>
      </c>
      <c r="B93" s="202" t="str">
        <f>HYPERLINK("http://codeforces.com/contest/550/problem/B","CF550-D2-B")</f>
        <v>CF550-D2-B</v>
      </c>
      <c r="C93" s="72"/>
      <c r="D93" s="86"/>
      <c r="E93" s="86"/>
      <c r="F93" s="86"/>
      <c r="G93" s="86"/>
      <c r="H93" s="81"/>
      <c r="I93" s="81">
        <f t="shared" si="2"/>
        <v>0</v>
      </c>
      <c r="J93" s="86"/>
      <c r="K93" s="80"/>
      <c r="L93" s="86"/>
      <c r="M93" s="161" t="str">
        <f>HYPERLINK("https://www.youtube.com/watch?v=o5fKByvQguE","Video Solution - SolverToBe (Java)")</f>
        <v>Video Solution - SolverToBe (Java)</v>
      </c>
    </row>
    <row r="94">
      <c r="A94" s="189"/>
      <c r="B94" s="190"/>
      <c r="C94" s="50"/>
      <c r="D94" s="50"/>
      <c r="E94" s="50"/>
      <c r="F94" s="50"/>
      <c r="G94" s="50"/>
      <c r="H94" s="186"/>
      <c r="I94" s="81">
        <f t="shared" si="2"/>
        <v>0</v>
      </c>
      <c r="J94" s="86"/>
      <c r="K94" s="80"/>
      <c r="L94" s="185"/>
      <c r="M94" s="191"/>
    </row>
    <row r="95">
      <c r="A95" s="189"/>
      <c r="B95" s="190"/>
      <c r="C95" s="50"/>
      <c r="D95" s="50"/>
      <c r="E95" s="50"/>
      <c r="F95" s="50"/>
      <c r="G95" s="50"/>
      <c r="H95" s="186"/>
      <c r="I95" s="81">
        <f t="shared" si="2"/>
        <v>0</v>
      </c>
      <c r="J95" s="86"/>
      <c r="K95" s="80"/>
      <c r="L95" s="185"/>
      <c r="M95" s="91" t="str">
        <f>HYPERLINK("https://www.youtube.com/watch?v=WTr12dK2Se0","Watch - Focused and Diffused Thinking")</f>
        <v>Watch - Focused and Diffused Thinking</v>
      </c>
    </row>
    <row r="96">
      <c r="A96" s="189"/>
      <c r="B96" s="190"/>
      <c r="C96" s="50"/>
      <c r="D96" s="50"/>
      <c r="E96" s="50"/>
      <c r="F96" s="50"/>
      <c r="G96" s="50"/>
      <c r="H96" s="186"/>
      <c r="I96" s="81">
        <f t="shared" si="2"/>
        <v>0</v>
      </c>
      <c r="J96" s="86"/>
      <c r="K96" s="80"/>
      <c r="L96" s="185"/>
      <c r="M96" s="193" t="str">
        <f>HYPERLINK("https://www.youtube.com/watch?v=tcQky6O1em8","Watch - Graph Theory - MST - Prime")</f>
        <v>Watch - Graph Theory - MST - Prime</v>
      </c>
    </row>
    <row r="97">
      <c r="A97" s="189"/>
      <c r="B97" s="190"/>
      <c r="C97" s="50"/>
      <c r="D97" s="50"/>
      <c r="E97" s="50"/>
      <c r="F97" s="50"/>
      <c r="G97" s="50"/>
      <c r="H97" s="186"/>
      <c r="I97" s="81">
        <f t="shared" si="2"/>
        <v>0</v>
      </c>
      <c r="J97" s="86"/>
      <c r="K97" s="80"/>
      <c r="L97" s="185"/>
      <c r="M97" s="191" t="str">
        <f>HYPERLINK("https://www.youtube.com/watch?v=HQ5ANfzSDn0","Watch - Graph Theory - MST - Kruskal")</f>
        <v>Watch - Graph Theory - MST - Kruskal</v>
      </c>
    </row>
    <row r="98">
      <c r="A98" s="146" t="s">
        <v>467</v>
      </c>
      <c r="B98" s="194" t="str">
        <f>HYPERLINK("https://uva.onlinejudge.org/index.php?option=com_onlinejudge&amp;Itemid=8&amp;page=show_problem&amp;problem=1088","UVA 10147")</f>
        <v>UVA 10147</v>
      </c>
      <c r="C98" s="185"/>
      <c r="D98" s="185"/>
      <c r="E98" s="185"/>
      <c r="F98" s="185"/>
      <c r="G98" s="185"/>
      <c r="H98" s="186"/>
      <c r="I98" s="81">
        <f t="shared" si="2"/>
        <v>0</v>
      </c>
      <c r="J98" s="86"/>
      <c r="K98" s="80"/>
      <c r="L98" s="185"/>
      <c r="M98" s="162" t="str">
        <f>HYPERLINK("https://www.youtube.com/watch?v=yNkLz4OVXtI","Video Solution - Eng Mahmoud Adel")</f>
        <v>Video Solution - Eng Mahmoud Adel</v>
      </c>
    </row>
    <row r="99">
      <c r="A99" s="148" t="s">
        <v>468</v>
      </c>
      <c r="B99" s="194" t="str">
        <f>HYPERLINK("https://uva.onlinejudge.org/index.php?option=com_onlinejudge&amp;Itemid=8&amp;page=show_problem&amp;problem=1541","UVA 10600")</f>
        <v>UVA 10600</v>
      </c>
      <c r="C99" s="185"/>
      <c r="D99" s="185"/>
      <c r="E99" s="185"/>
      <c r="F99" s="185"/>
      <c r="G99" s="185"/>
      <c r="H99" s="186"/>
      <c r="I99" s="81">
        <f t="shared" si="2"/>
        <v>0</v>
      </c>
      <c r="J99" s="86"/>
      <c r="K99" s="80"/>
      <c r="L99" s="185"/>
      <c r="M99" s="162" t="str">
        <f>HYPERLINK("https://www.youtube.com/watch?v=94EApxauQQE&amp;feature=youtu.be","Video Solution - Eng Moaz Rashad")</f>
        <v>Video Solution - Eng Moaz Rashad</v>
      </c>
    </row>
    <row r="100">
      <c r="A100" s="146" t="s">
        <v>469</v>
      </c>
      <c r="B100" s="194" t="str">
        <f>HYPERLINK("https://uva.onlinejudge.org/index.php?option=onlinejudge&amp;page=show_problem&amp;problem=2498","UVA 11503")</f>
        <v>UVA 11503</v>
      </c>
      <c r="C100" s="185"/>
      <c r="D100" s="185"/>
      <c r="E100" s="185"/>
      <c r="F100" s="185"/>
      <c r="G100" s="185"/>
      <c r="H100" s="186"/>
      <c r="I100" s="81">
        <f t="shared" si="2"/>
        <v>0</v>
      </c>
      <c r="J100" s="86"/>
      <c r="K100" s="80"/>
      <c r="L100" s="185"/>
      <c r="M100" s="162" t="str">
        <f>HYPERLINK("https://www.youtube.com/watch?v=kO_XbOt1drc","Video Solution - Eng Moaz Rashad")</f>
        <v>Video Solution - Eng Moaz Rashad</v>
      </c>
    </row>
    <row r="101">
      <c r="A101" s="146" t="s">
        <v>470</v>
      </c>
      <c r="B101" s="194" t="str">
        <f>HYPERLINK("https://uva.onlinejudge.org/index.php?option=com_onlinejudge&amp;Itemid=8&amp;page=show_problem&amp;problem=1310","UVA 10369")</f>
        <v>UVA 10369</v>
      </c>
      <c r="C101" s="185"/>
      <c r="D101" s="185"/>
      <c r="E101" s="185"/>
      <c r="F101" s="185"/>
      <c r="G101" s="185"/>
      <c r="H101" s="186"/>
      <c r="I101" s="140">
        <f t="shared" si="2"/>
        <v>0</v>
      </c>
      <c r="J101" s="86"/>
      <c r="K101" s="80"/>
      <c r="L101" s="185"/>
      <c r="M101" s="151"/>
    </row>
    <row r="102">
      <c r="A102" s="196" t="s">
        <v>471</v>
      </c>
      <c r="B102" s="197" t="str">
        <f>HYPERLINK("https://uva.onlinejudge.org/index.php?option=com_onlinejudge&amp;Itemid=8&amp;page=show_problem&amp;problem=58","UVA 122")</f>
        <v>UVA 122</v>
      </c>
      <c r="C102" s="72"/>
      <c r="D102" s="86"/>
      <c r="E102" s="86"/>
      <c r="F102" s="86"/>
      <c r="G102" s="86"/>
      <c r="H102" s="81"/>
      <c r="I102" s="81">
        <f t="shared" si="2"/>
        <v>0</v>
      </c>
      <c r="J102" s="86"/>
      <c r="K102" s="80"/>
      <c r="L102" s="86"/>
      <c r="M102" s="161" t="str">
        <f>HYPERLINK("https://www.youtube.com/watch?v=b6D-7cqN2jM","Video Solution - SolverToBe (Java)")</f>
        <v>Video Solution - SolverToBe (Java)</v>
      </c>
    </row>
    <row r="103">
      <c r="A103" s="138" t="s">
        <v>472</v>
      </c>
      <c r="B103" s="199" t="str">
        <f>HYPERLINK("http://acm.timus.ru/problem.aspx?space=1&amp;num=1100","TIMUS 1100")</f>
        <v>TIMUS 1100</v>
      </c>
      <c r="C103" s="72"/>
      <c r="D103" s="86"/>
      <c r="E103" s="86"/>
      <c r="F103" s="86"/>
      <c r="G103" s="86"/>
      <c r="H103" s="81"/>
      <c r="I103" s="81">
        <f t="shared" si="2"/>
        <v>0</v>
      </c>
      <c r="J103" s="86"/>
      <c r="K103" s="80"/>
      <c r="L103" s="86"/>
      <c r="M103" s="161" t="str">
        <f>HYPERLINK("https://github.com/marioyc/Online-Judge-Solutions/blob/master/Timus%20Online%20Judge/1100%20-%20Final%20Standings.cpp","Stable sort exercise")</f>
        <v>Stable sort exercise</v>
      </c>
    </row>
    <row r="104">
      <c r="A104" s="138" t="s">
        <v>473</v>
      </c>
      <c r="B104" s="199" t="str">
        <f>HYPERLINK("http://acm.timus.ru/problem.aspx?space=1&amp;num=1349","TIMUS 1349")</f>
        <v>TIMUS 1349</v>
      </c>
      <c r="C104" s="72"/>
      <c r="D104" s="86"/>
      <c r="E104" s="86"/>
      <c r="F104" s="86"/>
      <c r="G104" s="86"/>
      <c r="H104" s="81"/>
      <c r="I104" s="81">
        <f t="shared" si="2"/>
        <v>0</v>
      </c>
      <c r="J104" s="86"/>
      <c r="K104" s="80"/>
      <c r="L104" s="86"/>
      <c r="M104" s="161" t="str">
        <f>HYPERLINK("http://xoptutorials.com/index.php/2017/01/01/timus1349/","Learn Fermat’s Last Theorem")</f>
        <v>Learn Fermat’s Last Theorem</v>
      </c>
    </row>
    <row r="105">
      <c r="A105" s="189"/>
      <c r="B105" s="190"/>
      <c r="C105" s="185"/>
      <c r="D105" s="185"/>
      <c r="E105" s="185"/>
      <c r="F105" s="185"/>
      <c r="G105" s="185"/>
      <c r="H105" s="186"/>
      <c r="I105" s="81">
        <f t="shared" si="2"/>
        <v>0</v>
      </c>
      <c r="J105" s="86"/>
      <c r="K105" s="80"/>
      <c r="L105" s="185"/>
      <c r="M105" s="151"/>
    </row>
    <row r="106">
      <c r="A106" s="192" t="s">
        <v>474</v>
      </c>
      <c r="B106" s="64" t="str">
        <f>HYPERLINK("http://codeforces.com/contest/415/problem/B","CF415-D2-B")</f>
        <v>CF415-D2-B</v>
      </c>
      <c r="C106" s="185"/>
      <c r="D106" s="185"/>
      <c r="E106" s="185"/>
      <c r="F106" s="185"/>
      <c r="G106" s="185"/>
      <c r="H106" s="186"/>
      <c r="I106" s="81">
        <f t="shared" si="2"/>
        <v>0</v>
      </c>
      <c r="J106" s="86"/>
      <c r="K106" s="80"/>
      <c r="L106" s="185"/>
      <c r="M106" s="162" t="str">
        <f>HYPERLINK("https://www.youtube.com/watch?v=ZNxSTHmpLGc&amp;feature=youtu.be","Video Solution - Eng Salma Yehia")</f>
        <v>Video Solution - Eng Salma Yehia</v>
      </c>
    </row>
    <row r="107">
      <c r="A107" s="192" t="s">
        <v>475</v>
      </c>
      <c r="B107" s="64" t="str">
        <f>HYPERLINK("http://codeforces.com/contest/602/problem/B","CF602-D2-B")</f>
        <v>CF602-D2-B</v>
      </c>
      <c r="C107" s="185"/>
      <c r="D107" s="185"/>
      <c r="E107" s="185"/>
      <c r="F107" s="185"/>
      <c r="G107" s="185"/>
      <c r="H107" s="186"/>
      <c r="I107" s="81">
        <f t="shared" si="2"/>
        <v>0</v>
      </c>
      <c r="J107" s="86"/>
      <c r="K107" s="80"/>
      <c r="L107" s="185"/>
      <c r="M107" s="162" t="str">
        <f>HYPERLINK("https://www.youtube.com/watch?v=g93nX3rLVuk#_=_","Video Solution - Eng Salma Yehia")</f>
        <v>Video Solution - Eng Salma Yehia</v>
      </c>
    </row>
    <row r="108">
      <c r="A108" s="192" t="s">
        <v>476</v>
      </c>
      <c r="B108" s="217" t="str">
        <f>HYPERLINK("http://codeforces.com/contest/614/problem/B","CF614-D2-B")</f>
        <v>CF614-D2-B</v>
      </c>
      <c r="C108" s="185"/>
      <c r="D108" s="185"/>
      <c r="E108" s="185"/>
      <c r="F108" s="185"/>
      <c r="G108" s="185"/>
      <c r="H108" s="186"/>
      <c r="I108" s="81">
        <f t="shared" si="2"/>
        <v>0</v>
      </c>
      <c r="J108" s="86"/>
      <c r="K108" s="80"/>
      <c r="L108" s="185"/>
      <c r="M108" s="87"/>
    </row>
    <row r="109">
      <c r="A109" s="192" t="s">
        <v>477</v>
      </c>
      <c r="B109" s="64" t="str">
        <f>HYPERLINK("http://codeforces.com/contest/486/problem/B","CF486-D2-B")</f>
        <v>CF486-D2-B</v>
      </c>
      <c r="C109" s="185"/>
      <c r="D109" s="185"/>
      <c r="E109" s="185"/>
      <c r="F109" s="185"/>
      <c r="G109" s="185"/>
      <c r="H109" s="186"/>
      <c r="I109" s="81">
        <f t="shared" si="2"/>
        <v>0</v>
      </c>
      <c r="J109" s="86"/>
      <c r="K109" s="80"/>
      <c r="L109" s="185"/>
      <c r="M109" s="87"/>
    </row>
    <row r="110">
      <c r="A110" s="192" t="s">
        <v>478</v>
      </c>
      <c r="B110" s="64" t="str">
        <f>HYPERLINK("http://codeforces.com/contest/510/problem/B","CF510-D2-B")</f>
        <v>CF510-D2-B</v>
      </c>
      <c r="C110" s="185"/>
      <c r="D110" s="185"/>
      <c r="E110" s="185"/>
      <c r="F110" s="185"/>
      <c r="G110" s="185"/>
      <c r="H110" s="186"/>
      <c r="I110" s="81">
        <f t="shared" si="2"/>
        <v>0</v>
      </c>
      <c r="J110" s="86"/>
      <c r="K110" s="80"/>
      <c r="L110" s="185"/>
      <c r="M110" s="218" t="str">
        <f>HYPERLINK("https://www.youtube.com/watch?v=LHIZzMjnG0k&amp;feature=youtu.be","Video Solution - Eng Mohamed Adel")</f>
        <v>Video Solution - Eng Mohamed Adel</v>
      </c>
    </row>
    <row r="111">
      <c r="A111" s="192" t="s">
        <v>479</v>
      </c>
      <c r="B111" s="64" t="str">
        <f>HYPERLINK("http://codeforces.com/contest/337/problem/B","CF337-D2-B")</f>
        <v>CF337-D2-B</v>
      </c>
      <c r="C111" s="185"/>
      <c r="D111" s="185"/>
      <c r="E111" s="185"/>
      <c r="F111" s="185"/>
      <c r="G111" s="185"/>
      <c r="H111" s="186"/>
      <c r="I111" s="81">
        <f t="shared" si="2"/>
        <v>0</v>
      </c>
      <c r="J111" s="86"/>
      <c r="K111" s="80"/>
      <c r="L111" s="185"/>
      <c r="M111" s="218" t="str">
        <f>HYPERLINK("https://www.youtube.com/watch?v=NaB4pnNbXEY","Video Solution - Eng Mohamed Adel")</f>
        <v>Video Solution - Eng Mohamed Adel</v>
      </c>
    </row>
    <row r="112">
      <c r="A112" s="192" t="s">
        <v>480</v>
      </c>
      <c r="B112" s="64" t="str">
        <f>HYPERLINK("http://codeforces.com/contest/493/problem/B","CF493-D2-B")</f>
        <v>CF493-D2-B</v>
      </c>
      <c r="C112" s="185"/>
      <c r="D112" s="185"/>
      <c r="E112" s="185"/>
      <c r="F112" s="185"/>
      <c r="G112" s="185"/>
      <c r="H112" s="186"/>
      <c r="I112" s="81">
        <f t="shared" si="2"/>
        <v>0</v>
      </c>
      <c r="J112" s="86"/>
      <c r="K112" s="80"/>
      <c r="L112" s="185"/>
      <c r="M112" s="87"/>
    </row>
    <row r="113">
      <c r="A113" s="192" t="s">
        <v>481</v>
      </c>
      <c r="B113" s="64" t="str">
        <f>HYPERLINK("http://codeforces.com/contest/608/problem/B","CF608-D2-B")</f>
        <v>CF608-D2-B</v>
      </c>
      <c r="C113" s="185"/>
      <c r="D113" s="185"/>
      <c r="E113" s="185"/>
      <c r="F113" s="185"/>
      <c r="G113" s="185"/>
      <c r="H113" s="186"/>
      <c r="I113" s="81">
        <f t="shared" si="2"/>
        <v>0</v>
      </c>
      <c r="J113" s="86"/>
      <c r="K113" s="80"/>
      <c r="L113" s="185"/>
      <c r="M113" s="87"/>
    </row>
    <row r="114">
      <c r="A114" s="110" t="s">
        <v>482</v>
      </c>
      <c r="B114" s="213" t="str">
        <f>HYPERLINK("http://codeforces.com/contest/621/problem/B","CF621-D2-B")</f>
        <v>CF621-D2-B</v>
      </c>
      <c r="C114" s="50"/>
      <c r="D114" s="50"/>
      <c r="E114" s="50"/>
      <c r="F114" s="50"/>
      <c r="G114" s="50"/>
      <c r="H114" s="186"/>
      <c r="I114" s="81">
        <f t="shared" si="2"/>
        <v>0</v>
      </c>
      <c r="J114" s="86"/>
      <c r="K114" s="80"/>
      <c r="L114" s="50"/>
      <c r="M114" s="219" t="str">
        <f>HYPERLINK("https://www.youtube.com/watch?v=zKne2u4DuIs&amp;feature=youtu.be","Video Solution - Eng Mahmoud Mabrok")</f>
        <v>Video Solution - Eng Mahmoud Mabrok</v>
      </c>
    </row>
    <row r="115">
      <c r="A115" s="192" t="s">
        <v>483</v>
      </c>
      <c r="B115" s="64" t="str">
        <f>HYPERLINK("http://codeforces.com/contest/580/problem/B","CF580-D2-B")</f>
        <v>CF580-D2-B</v>
      </c>
      <c r="C115" s="185"/>
      <c r="D115" s="185"/>
      <c r="E115" s="185"/>
      <c r="F115" s="185"/>
      <c r="G115" s="185"/>
      <c r="H115" s="186"/>
      <c r="I115" s="81">
        <f t="shared" si="2"/>
        <v>0</v>
      </c>
      <c r="J115" s="86"/>
      <c r="K115" s="80"/>
      <c r="L115" s="185"/>
      <c r="M115" s="161" t="str">
        <f>HYPERLINK("https://www.youtube.com/watch?v=kUXDNSkFECM","Video Solution - SolverToBe (Java)")</f>
        <v>Video Solution - SolverToBe (Java)</v>
      </c>
    </row>
    <row r="116">
      <c r="A116" s="110" t="s">
        <v>484</v>
      </c>
      <c r="B116" s="213" t="str">
        <f>HYPERLINK("http://codeforces.com/contest/535/problem/B","CF535-D2-B")</f>
        <v>CF535-D2-B</v>
      </c>
      <c r="C116" s="50"/>
      <c r="D116" s="50"/>
      <c r="E116" s="50"/>
      <c r="F116" s="50"/>
      <c r="G116" s="50"/>
      <c r="H116" s="50"/>
      <c r="I116" s="127">
        <f t="shared" si="2"/>
        <v>0</v>
      </c>
      <c r="J116" s="117"/>
      <c r="K116" s="116"/>
      <c r="L116" s="50"/>
      <c r="M116" s="106" t="str">
        <f>HYPERLINK("https://www.youtube.com/watch?v=NPVp5BntYZ4","Video Solution - Eng Abanob Ashraf")</f>
        <v>Video Solution - Eng Abanob Ashraf</v>
      </c>
    </row>
    <row r="117">
      <c r="A117" s="215"/>
      <c r="B117" s="135"/>
      <c r="C117" s="50"/>
      <c r="D117" s="50"/>
      <c r="E117" s="50"/>
      <c r="F117" s="50"/>
      <c r="G117" s="50"/>
      <c r="H117" s="50"/>
      <c r="I117" s="127">
        <f t="shared" si="2"/>
        <v>0</v>
      </c>
      <c r="J117" s="117"/>
      <c r="K117" s="116"/>
      <c r="L117" s="50"/>
      <c r="M117" s="141"/>
    </row>
    <row r="118">
      <c r="A118" s="215" t="s">
        <v>485</v>
      </c>
      <c r="B118" s="135" t="str">
        <f>HYPERLINK("http://codeforces.com/contest/1009/problem/B","CF1009-D12-B")</f>
        <v>CF1009-D12-B</v>
      </c>
      <c r="C118" s="50"/>
      <c r="D118" s="50"/>
      <c r="E118" s="50"/>
      <c r="F118" s="50"/>
      <c r="G118" s="50"/>
      <c r="H118" s="50"/>
      <c r="I118" s="127">
        <f t="shared" si="2"/>
        <v>0</v>
      </c>
      <c r="J118" s="117"/>
      <c r="K118" s="116"/>
      <c r="L118" s="50"/>
      <c r="M118" s="206" t="s">
        <v>458</v>
      </c>
    </row>
    <row r="119">
      <c r="A119" s="215"/>
      <c r="B119" s="161" t="str">
        <f>HYPERLINK("https://codeforces.com/contest/1030/problem/B","CF1030-D12-B")</f>
        <v>CF1030-D12-B</v>
      </c>
      <c r="C119" s="50"/>
      <c r="D119" s="50"/>
      <c r="E119" s="50"/>
      <c r="F119" s="50"/>
      <c r="G119" s="50"/>
      <c r="H119" s="50"/>
      <c r="I119" s="127">
        <f t="shared" si="2"/>
        <v>0</v>
      </c>
      <c r="J119" s="117"/>
      <c r="K119" s="116"/>
      <c r="L119" s="50"/>
      <c r="M119" s="141"/>
    </row>
    <row r="120">
      <c r="A120" s="215"/>
      <c r="B120" s="220" t="str">
        <f>HYPERLINK("https://codeforces.com/contest/1051/problem/B", "CF1051-D2-B")</f>
        <v>CF1051-D2-B</v>
      </c>
      <c r="C120" s="50"/>
      <c r="D120" s="50"/>
      <c r="E120" s="50"/>
      <c r="F120" s="50"/>
      <c r="G120" s="50"/>
      <c r="H120" s="50"/>
      <c r="I120" s="127">
        <f t="shared" si="2"/>
        <v>0</v>
      </c>
      <c r="J120" s="117"/>
      <c r="K120" s="116"/>
      <c r="L120" s="50"/>
      <c r="M120" s="141"/>
    </row>
    <row r="121">
      <c r="A121" s="215"/>
      <c r="B121" s="167" t="str">
        <f>HYPERLINK("https://codeforces.com/contest/1237/problem/B","CF1237-D12-B")</f>
        <v>CF1237-D12-B</v>
      </c>
      <c r="C121" s="50"/>
      <c r="D121" s="50"/>
      <c r="E121" s="50"/>
      <c r="F121" s="50"/>
      <c r="G121" s="50"/>
      <c r="H121" s="50"/>
      <c r="I121" s="127">
        <f t="shared" si="2"/>
        <v>0</v>
      </c>
      <c r="J121" s="117"/>
      <c r="K121" s="116"/>
      <c r="L121" s="50"/>
      <c r="M121" s="141"/>
    </row>
    <row r="122">
      <c r="A122" s="50"/>
      <c r="B122" s="50"/>
      <c r="C122" s="50"/>
      <c r="D122" s="50"/>
      <c r="E122" s="50"/>
      <c r="F122" s="50"/>
      <c r="G122" s="50"/>
      <c r="H122" s="186"/>
      <c r="I122" s="81">
        <f t="shared" si="2"/>
        <v>0</v>
      </c>
      <c r="J122" s="86"/>
      <c r="K122" s="80"/>
      <c r="L122" s="50"/>
      <c r="M122" s="191"/>
    </row>
    <row r="123">
      <c r="A123" s="50"/>
      <c r="B123" s="50"/>
      <c r="C123" s="50"/>
      <c r="D123" s="50"/>
      <c r="E123" s="50"/>
      <c r="F123" s="50"/>
      <c r="G123" s="50"/>
      <c r="H123" s="186"/>
      <c r="I123" s="81">
        <f t="shared" si="2"/>
        <v>0</v>
      </c>
      <c r="J123" s="86"/>
      <c r="K123" s="80"/>
      <c r="L123" s="50"/>
      <c r="M123" s="191" t="str">
        <f>HYPERLINK("https://www.youtube.com/watch?v=iXxP_liQklk","Watch - Intro to Greedy")</f>
        <v>Watch - Intro to Greedy</v>
      </c>
    </row>
    <row r="124">
      <c r="A124" s="221" t="s">
        <v>486</v>
      </c>
      <c r="B124" s="222" t="str">
        <f>HYPERLINK("http://codeforces.com/contest/282/problem/B","CF282-D2-B")</f>
        <v>CF282-D2-B</v>
      </c>
      <c r="C124" s="50"/>
      <c r="D124" s="50"/>
      <c r="E124" s="50"/>
      <c r="F124" s="50"/>
      <c r="G124" s="50"/>
      <c r="H124" s="186"/>
      <c r="I124" s="81">
        <f t="shared" si="2"/>
        <v>0</v>
      </c>
      <c r="J124" s="86"/>
      <c r="K124" s="80"/>
      <c r="L124" s="50"/>
      <c r="M124" s="47"/>
    </row>
    <row r="125">
      <c r="A125" s="221" t="s">
        <v>487</v>
      </c>
      <c r="B125" s="222" t="str">
        <f>HYPERLINK("http://codeforces.com/contest/435/problem/B","CF435-D2-B")</f>
        <v>CF435-D2-B</v>
      </c>
      <c r="C125" s="50"/>
      <c r="D125" s="50"/>
      <c r="E125" s="50"/>
      <c r="F125" s="50"/>
      <c r="G125" s="50"/>
      <c r="H125" s="186"/>
      <c r="I125" s="81">
        <f t="shared" si="2"/>
        <v>0</v>
      </c>
      <c r="J125" s="86"/>
      <c r="K125" s="80"/>
      <c r="L125" s="50"/>
      <c r="M125" s="106" t="str">
        <f>HYPERLINK("https://www.youtube.com/watch?v=hDsuoSTdytw&amp;feature=youtu.be","Video Solution - Eng Hossam Yehia")</f>
        <v>Video Solution - Eng Hossam Yehia</v>
      </c>
    </row>
    <row r="126">
      <c r="A126" s="221" t="s">
        <v>488</v>
      </c>
      <c r="B126" s="222" t="str">
        <f>HYPERLINK("http://codeforces.com/contest/276/problem/B","CF276-D2-B")</f>
        <v>CF276-D2-B</v>
      </c>
      <c r="C126" s="50"/>
      <c r="D126" s="50"/>
      <c r="E126" s="50"/>
      <c r="F126" s="50"/>
      <c r="G126" s="50"/>
      <c r="H126" s="186"/>
      <c r="I126" s="81">
        <f t="shared" si="2"/>
        <v>0</v>
      </c>
      <c r="J126" s="86"/>
      <c r="K126" s="80"/>
      <c r="L126" s="50"/>
      <c r="M126" s="106" t="str">
        <f>HYPERLINK("https://www.youtube.com/watch?v=WrpG_n0SrbY&amp;feature=youtu.be","Video Solution - Eng Hossam Yehia")</f>
        <v>Video Solution - Eng Hossam Yehia</v>
      </c>
    </row>
    <row r="127">
      <c r="A127" s="221" t="s">
        <v>489</v>
      </c>
      <c r="B127" s="222" t="str">
        <f>HYPERLINK("http://codeforces.com/contest/525/problem/B","CF525-D2-B")</f>
        <v>CF525-D2-B</v>
      </c>
      <c r="C127" s="50"/>
      <c r="D127" s="50"/>
      <c r="E127" s="50"/>
      <c r="F127" s="50"/>
      <c r="G127" s="50"/>
      <c r="H127" s="186"/>
      <c r="I127" s="81">
        <f t="shared" si="2"/>
        <v>0</v>
      </c>
      <c r="J127" s="86"/>
      <c r="K127" s="80"/>
      <c r="L127" s="50"/>
      <c r="M127" s="106" t="str">
        <f>HYPERLINK("https://www.youtube.com/watch?v=NPVp5BntYZ4","Video Solution - Eng Hossam Yehia")</f>
        <v>Video Solution - Eng Hossam Yehia</v>
      </c>
    </row>
    <row r="128">
      <c r="A128" s="221" t="s">
        <v>490</v>
      </c>
      <c r="B128" s="223" t="str">
        <f>HYPERLINK("http://codeforces.com/contest/416/problem/C","CF416-D2-C")</f>
        <v>CF416-D2-C</v>
      </c>
      <c r="C128" s="50"/>
      <c r="D128" s="50"/>
      <c r="E128" s="50"/>
      <c r="F128" s="50"/>
      <c r="G128" s="50"/>
      <c r="H128" s="186"/>
      <c r="I128" s="81">
        <f t="shared" si="2"/>
        <v>0</v>
      </c>
      <c r="J128" s="86"/>
      <c r="K128" s="80"/>
      <c r="L128" s="50"/>
      <c r="M128" s="47"/>
    </row>
    <row r="129">
      <c r="A129" s="221" t="s">
        <v>491</v>
      </c>
      <c r="B129" s="223" t="str">
        <f>HYPERLINK("http://codeforces.com/contest/492/problem/C","CF492-D2-C")</f>
        <v>CF492-D2-C</v>
      </c>
      <c r="C129" s="50"/>
      <c r="D129" s="50"/>
      <c r="E129" s="50"/>
      <c r="F129" s="50"/>
      <c r="G129" s="50"/>
      <c r="H129" s="186"/>
      <c r="I129" s="81">
        <f t="shared" si="2"/>
        <v>0</v>
      </c>
      <c r="J129" s="86"/>
      <c r="K129" s="80"/>
      <c r="L129" s="50"/>
      <c r="M129" s="47"/>
    </row>
    <row r="130">
      <c r="A130" s="196" t="s">
        <v>492</v>
      </c>
      <c r="B130" s="197" t="str">
        <f>HYPERLINK("https://uva.onlinejudge.org/index.php?option=com_onlinejudge&amp;Itemid=8&amp;page=show_problem&amp;problem=41","UVA 105")</f>
        <v>UVA 105</v>
      </c>
      <c r="C130" s="50"/>
      <c r="D130" s="50"/>
      <c r="E130" s="50"/>
      <c r="F130" s="50"/>
      <c r="G130" s="50"/>
      <c r="H130" s="186"/>
      <c r="I130" s="81">
        <f t="shared" si="2"/>
        <v>0</v>
      </c>
      <c r="J130" s="86"/>
      <c r="K130" s="80"/>
      <c r="L130" s="50"/>
      <c r="M130" s="47"/>
    </row>
    <row r="131">
      <c r="A131" s="196" t="s">
        <v>493</v>
      </c>
      <c r="B131" s="211" t="str">
        <f>HYPERLINK("https://uva.onlinejudge.org/index.php?option=onlinejudge&amp;page=show_problem&amp;problem=1217","UVA 10276")</f>
        <v>UVA 10276</v>
      </c>
      <c r="C131" s="185"/>
      <c r="D131" s="185"/>
      <c r="E131" s="185"/>
      <c r="F131" s="185"/>
      <c r="G131" s="185"/>
      <c r="H131" s="186"/>
      <c r="I131" s="81">
        <f t="shared" si="2"/>
        <v>0</v>
      </c>
      <c r="J131" s="86"/>
      <c r="K131" s="80"/>
      <c r="L131" s="185"/>
      <c r="M131" s="162" t="str">
        <f>HYPERLINK("https://www.youtube.com/watch?v=ygWfse3bBLI&amp;feature=youtu.be","Video Solution - Eng Mahmoud Adel")</f>
        <v>Video Solution - Eng Mahmoud Adel</v>
      </c>
    </row>
    <row r="132">
      <c r="A132" s="196" t="s">
        <v>494</v>
      </c>
      <c r="B132" s="211" t="str">
        <f>HYPERLINK("https://uva.onlinejudge.org/index.php?option=onlinejudge&amp;page=show_problem&amp;problem=725","UVA 784")</f>
        <v>UVA 784</v>
      </c>
      <c r="C132" s="185"/>
      <c r="D132" s="185"/>
      <c r="E132" s="185"/>
      <c r="F132" s="185"/>
      <c r="G132" s="185"/>
      <c r="H132" s="186"/>
      <c r="I132" s="81">
        <f t="shared" si="2"/>
        <v>0</v>
      </c>
      <c r="J132" s="86"/>
      <c r="K132" s="80"/>
      <c r="L132" s="185"/>
      <c r="M132" s="162" t="str">
        <f>HYPERLINK("https://www.youtube.com/watch?v=khOAL6TflhE&amp;feature=youtu.be","Video Solution - Eng Mahmoud Adel")</f>
        <v>Video Solution - Eng Mahmoud Adel</v>
      </c>
    </row>
    <row r="133">
      <c r="A133" s="224" t="s">
        <v>495</v>
      </c>
      <c r="B133" s="225" t="s">
        <v>496</v>
      </c>
      <c r="C133" s="185"/>
      <c r="D133" s="185"/>
      <c r="E133" s="185"/>
      <c r="F133" s="185"/>
      <c r="G133" s="185"/>
      <c r="H133" s="186"/>
      <c r="I133" s="140">
        <f t="shared" si="2"/>
        <v>0</v>
      </c>
      <c r="J133" s="86"/>
      <c r="K133" s="80"/>
      <c r="L133" s="185"/>
      <c r="M133" s="226"/>
    </row>
    <row r="134">
      <c r="A134" s="227"/>
      <c r="B134" s="228"/>
      <c r="C134" s="229"/>
      <c r="D134" s="229"/>
      <c r="E134" s="229"/>
      <c r="F134" s="229"/>
      <c r="G134" s="229"/>
      <c r="H134" s="230"/>
      <c r="I134" s="230">
        <f t="shared" ref="I134:I136" si="3">SUM(E134:G134)</f>
        <v>0</v>
      </c>
      <c r="J134" s="229"/>
      <c r="K134" s="229"/>
      <c r="L134" s="229"/>
      <c r="M134" s="227"/>
    </row>
    <row r="135">
      <c r="A135" s="151"/>
      <c r="B135" s="47"/>
      <c r="C135" s="120"/>
      <c r="D135" s="231" t="s">
        <v>271</v>
      </c>
      <c r="H135" s="186"/>
      <c r="I135" s="186">
        <f t="shared" si="3"/>
        <v>0</v>
      </c>
      <c r="J135" s="179" t="s">
        <v>272</v>
      </c>
    </row>
    <row r="136">
      <c r="A136" s="227"/>
      <c r="B136" s="228"/>
      <c r="C136" s="229"/>
      <c r="D136" s="229"/>
      <c r="E136" s="229"/>
      <c r="F136" s="229"/>
      <c r="G136" s="229"/>
      <c r="H136" s="230"/>
      <c r="I136" s="230">
        <f t="shared" si="3"/>
        <v>0</v>
      </c>
      <c r="J136" s="229"/>
      <c r="K136" s="229"/>
      <c r="L136" s="229"/>
      <c r="M136" s="227"/>
    </row>
    <row r="137">
      <c r="A137" s="110" t="s">
        <v>497</v>
      </c>
      <c r="B137" s="111" t="str">
        <f>HYPERLINK("http://codeforces.com/contest/439/problem/B","CF439-D2-B")</f>
        <v>CF439-D2-B</v>
      </c>
      <c r="C137" s="50"/>
      <c r="D137" s="50"/>
      <c r="E137" s="50"/>
      <c r="F137" s="50"/>
      <c r="G137" s="50"/>
      <c r="H137" s="50"/>
      <c r="I137" s="127">
        <f t="shared" ref="I137:I218" si="4">SUM(E137:H137)</f>
        <v>0</v>
      </c>
      <c r="J137" s="117"/>
      <c r="K137" s="116"/>
      <c r="L137" s="50"/>
      <c r="M137" s="152" t="str">
        <f>HYPERLINK("https://www.youtube.com/watch?v=KoGeW-vs7VY","Video Solution - Solver to be (Java)")</f>
        <v>Video Solution - Solver to be (Java)</v>
      </c>
    </row>
    <row r="138">
      <c r="A138" s="110" t="s">
        <v>498</v>
      </c>
      <c r="B138" s="111" t="str">
        <f>HYPERLINK("http://codeforces.com/contest/796/problem/B","CF796-D2-B")</f>
        <v>CF796-D2-B</v>
      </c>
      <c r="C138" s="50"/>
      <c r="D138" s="50"/>
      <c r="E138" s="50"/>
      <c r="F138" s="50"/>
      <c r="G138" s="50"/>
      <c r="H138" s="50"/>
      <c r="I138" s="127">
        <f t="shared" si="4"/>
        <v>0</v>
      </c>
      <c r="J138" s="117"/>
      <c r="K138" s="116"/>
      <c r="L138" s="50"/>
      <c r="M138" s="152" t="str">
        <f>HYPERLINK("https://www.youtube.com/watch?v=sLBLgccZ3CM","Video Solution - Solver to be (Java)")</f>
        <v>Video Solution - Solver to be (Java)</v>
      </c>
    </row>
    <row r="139">
      <c r="A139" s="110" t="s">
        <v>499</v>
      </c>
      <c r="B139" s="111" t="str">
        <f>HYPERLINK("http://codeforces.com/contest/26/problem/B","CF26-D12-B")</f>
        <v>CF26-D12-B</v>
      </c>
      <c r="C139" s="50"/>
      <c r="D139" s="50"/>
      <c r="E139" s="50"/>
      <c r="F139" s="50"/>
      <c r="G139" s="50"/>
      <c r="H139" s="50"/>
      <c r="I139" s="127">
        <f t="shared" si="4"/>
        <v>0</v>
      </c>
      <c r="J139" s="117"/>
      <c r="K139" s="116"/>
      <c r="L139" s="50"/>
      <c r="M139" s="152" t="str">
        <f>HYPERLINK("https://www.youtube.com/watch?v=bz1ZEbzCFfU","Video Solution - Solver to be (Java)")</f>
        <v>Video Solution - Solver to be (Java)</v>
      </c>
    </row>
    <row r="140">
      <c r="A140" s="192" t="s">
        <v>500</v>
      </c>
      <c r="B140" s="212" t="str">
        <f>HYPERLINK("http://codeforces.com/contest/465/problem/B","CF465-D2-B")</f>
        <v>CF465-D2-B</v>
      </c>
      <c r="C140" s="185"/>
      <c r="D140" s="185"/>
      <c r="E140" s="185"/>
      <c r="F140" s="185"/>
      <c r="G140" s="185"/>
      <c r="H140" s="186"/>
      <c r="I140" s="81">
        <f t="shared" si="4"/>
        <v>0</v>
      </c>
      <c r="J140" s="86"/>
      <c r="K140" s="80"/>
      <c r="L140" s="185"/>
      <c r="M140" s="151"/>
    </row>
    <row r="141">
      <c r="A141" s="192" t="s">
        <v>501</v>
      </c>
      <c r="B141" s="212" t="str">
        <f>HYPERLINK("http://codeforces.com/contest/672/problem/B","CF672-D2-B")</f>
        <v>CF672-D2-B</v>
      </c>
      <c r="C141" s="185"/>
      <c r="D141" s="185"/>
      <c r="E141" s="185"/>
      <c r="F141" s="185"/>
      <c r="G141" s="185"/>
      <c r="H141" s="186"/>
      <c r="I141" s="81">
        <f t="shared" si="4"/>
        <v>0</v>
      </c>
      <c r="J141" s="86"/>
      <c r="K141" s="80"/>
      <c r="L141" s="185"/>
      <c r="M141" s="151"/>
    </row>
    <row r="142">
      <c r="A142" s="192" t="s">
        <v>502</v>
      </c>
      <c r="B142" s="212" t="str">
        <f>HYPERLINK("http://codeforces.com/contest/137/problem/B","CF137-D2-B")</f>
        <v>CF137-D2-B</v>
      </c>
      <c r="C142" s="185"/>
      <c r="D142" s="185"/>
      <c r="E142" s="185"/>
      <c r="F142" s="185"/>
      <c r="G142" s="185"/>
      <c r="H142" s="186"/>
      <c r="I142" s="81">
        <f t="shared" si="4"/>
        <v>0</v>
      </c>
      <c r="J142" s="86"/>
      <c r="K142" s="80"/>
      <c r="L142" s="185"/>
      <c r="M142" s="151"/>
    </row>
    <row r="143">
      <c r="A143" s="192" t="s">
        <v>503</v>
      </c>
      <c r="B143" s="212" t="str">
        <f>HYPERLINK("http://codeforces.com/contest/259/problem/B","CF259-D2-B")</f>
        <v>CF259-D2-B</v>
      </c>
      <c r="C143" s="185"/>
      <c r="D143" s="185"/>
      <c r="E143" s="185"/>
      <c r="F143" s="185"/>
      <c r="G143" s="185"/>
      <c r="H143" s="186"/>
      <c r="I143" s="81">
        <f t="shared" si="4"/>
        <v>0</v>
      </c>
      <c r="J143" s="86"/>
      <c r="K143" s="80"/>
      <c r="L143" s="185"/>
      <c r="M143" s="151"/>
    </row>
    <row r="144">
      <c r="A144" s="192" t="s">
        <v>504</v>
      </c>
      <c r="B144" s="212" t="str">
        <f>HYPERLINK("http://codeforces.com/contest/218/problem/B","CF218-D2-B")</f>
        <v>CF218-D2-B</v>
      </c>
      <c r="C144" s="185"/>
      <c r="D144" s="185"/>
      <c r="E144" s="185"/>
      <c r="F144" s="185"/>
      <c r="G144" s="185"/>
      <c r="H144" s="186"/>
      <c r="I144" s="81">
        <f t="shared" si="4"/>
        <v>0</v>
      </c>
      <c r="J144" s="86"/>
      <c r="K144" s="80"/>
      <c r="L144" s="185"/>
      <c r="M144" s="151"/>
    </row>
    <row r="145">
      <c r="A145" s="192" t="s">
        <v>505</v>
      </c>
      <c r="B145" s="212" t="str">
        <f>HYPERLINK("http://codeforces.com/contest/732/problem/B","CF732-D2-B")</f>
        <v>CF732-D2-B</v>
      </c>
      <c r="C145" s="185"/>
      <c r="D145" s="185"/>
      <c r="E145" s="185"/>
      <c r="F145" s="185"/>
      <c r="G145" s="185"/>
      <c r="H145" s="186"/>
      <c r="I145" s="81">
        <f t="shared" si="4"/>
        <v>0</v>
      </c>
      <c r="J145" s="86"/>
      <c r="K145" s="80"/>
      <c r="L145" s="185"/>
      <c r="M145" s="151"/>
    </row>
    <row r="146">
      <c r="A146" s="192" t="s">
        <v>506</v>
      </c>
      <c r="B146" s="212" t="str">
        <f>HYPERLINK("http://codeforces.com/contest/427/problem/B","CF427-D2-B")</f>
        <v>CF427-D2-B</v>
      </c>
      <c r="C146" s="185"/>
      <c r="D146" s="185"/>
      <c r="E146" s="185"/>
      <c r="F146" s="185"/>
      <c r="G146" s="185"/>
      <c r="H146" s="186"/>
      <c r="I146" s="81">
        <f t="shared" si="4"/>
        <v>0</v>
      </c>
      <c r="J146" s="86"/>
      <c r="K146" s="80"/>
      <c r="L146" s="185"/>
      <c r="M146" s="151"/>
    </row>
    <row r="147">
      <c r="A147" s="192" t="s">
        <v>507</v>
      </c>
      <c r="B147" s="212" t="str">
        <f>HYPERLINK("http://codeforces.com/contest/519/problem/B","CF519-D2-B")</f>
        <v>CF519-D2-B</v>
      </c>
      <c r="C147" s="185"/>
      <c r="D147" s="185"/>
      <c r="E147" s="185"/>
      <c r="F147" s="185"/>
      <c r="G147" s="185"/>
      <c r="H147" s="186"/>
      <c r="I147" s="81">
        <f t="shared" si="4"/>
        <v>0</v>
      </c>
      <c r="J147" s="86"/>
      <c r="K147" s="80"/>
      <c r="L147" s="185"/>
      <c r="M147" s="151"/>
    </row>
    <row r="148">
      <c r="A148" s="192" t="s">
        <v>349</v>
      </c>
      <c r="B148" s="212" t="str">
        <f>HYPERLINK("http://codeforces.com/contest/43/problem/B","CF43-D2-B")</f>
        <v>CF43-D2-B</v>
      </c>
      <c r="C148" s="185"/>
      <c r="D148" s="185"/>
      <c r="E148" s="185"/>
      <c r="F148" s="185"/>
      <c r="G148" s="185"/>
      <c r="H148" s="186"/>
      <c r="I148" s="81">
        <f t="shared" si="4"/>
        <v>0</v>
      </c>
      <c r="J148" s="86"/>
      <c r="K148" s="80"/>
      <c r="L148" s="185"/>
      <c r="M148" s="151"/>
    </row>
    <row r="149">
      <c r="A149" s="192" t="s">
        <v>508</v>
      </c>
      <c r="B149" s="212" t="str">
        <f>HYPERLINK("http://codeforces.com/contest/670/problem/B","CF670-D2-B")</f>
        <v>CF670-D2-B</v>
      </c>
      <c r="C149" s="185"/>
      <c r="D149" s="185"/>
      <c r="E149" s="185"/>
      <c r="F149" s="185"/>
      <c r="G149" s="185"/>
      <c r="H149" s="186"/>
      <c r="I149" s="81">
        <f t="shared" si="4"/>
        <v>0</v>
      </c>
      <c r="J149" s="86"/>
      <c r="K149" s="80"/>
      <c r="L149" s="185"/>
      <c r="M149" s="151"/>
    </row>
    <row r="150">
      <c r="A150" s="192"/>
      <c r="C150" s="185"/>
      <c r="D150" s="185"/>
      <c r="E150" s="185"/>
      <c r="F150" s="185"/>
      <c r="G150" s="185"/>
      <c r="H150" s="186"/>
      <c r="I150" s="81">
        <f t="shared" si="4"/>
        <v>0</v>
      </c>
      <c r="J150" s="86"/>
      <c r="K150" s="80"/>
      <c r="L150" s="185"/>
      <c r="M150" s="151"/>
    </row>
    <row r="151">
      <c r="A151" s="110" t="s">
        <v>509</v>
      </c>
      <c r="B151" s="111" t="str">
        <f>HYPERLINK("http://codeforces.com/contest/90/problem/B","CF90-D2-B")</f>
        <v>CF90-D2-B</v>
      </c>
      <c r="C151" s="50"/>
      <c r="D151" s="50"/>
      <c r="E151" s="50"/>
      <c r="F151" s="50"/>
      <c r="G151" s="50"/>
      <c r="H151" s="186"/>
      <c r="I151" s="81">
        <f t="shared" si="4"/>
        <v>0</v>
      </c>
      <c r="J151" s="86"/>
      <c r="K151" s="80"/>
      <c r="L151" s="50"/>
      <c r="M151" s="47"/>
    </row>
    <row r="152">
      <c r="A152" s="110" t="s">
        <v>510</v>
      </c>
      <c r="B152" s="111" t="str">
        <f>HYPERLINK("http://codeforces.com/contest/284/problem/B","CF284-D2-B")</f>
        <v>CF284-D2-B</v>
      </c>
      <c r="C152" s="50"/>
      <c r="D152" s="50"/>
      <c r="E152" s="50"/>
      <c r="F152" s="50"/>
      <c r="G152" s="50"/>
      <c r="H152" s="186"/>
      <c r="I152" s="81">
        <f t="shared" si="4"/>
        <v>0</v>
      </c>
      <c r="J152" s="86"/>
      <c r="K152" s="80"/>
      <c r="L152" s="50"/>
      <c r="M152" s="47"/>
    </row>
    <row r="153">
      <c r="A153" s="110" t="s">
        <v>511</v>
      </c>
      <c r="B153" s="111" t="str">
        <f>HYPERLINK("http://codeforces.com/contest/285/problem/B","CF285-D2-B")</f>
        <v>CF285-D2-B</v>
      </c>
      <c r="C153" s="50"/>
      <c r="D153" s="50"/>
      <c r="E153" s="50"/>
      <c r="F153" s="50"/>
      <c r="G153" s="50"/>
      <c r="H153" s="186"/>
      <c r="I153" s="81">
        <f t="shared" si="4"/>
        <v>0</v>
      </c>
      <c r="J153" s="86"/>
      <c r="K153" s="80"/>
      <c r="L153" s="50"/>
      <c r="M153" s="47"/>
    </row>
    <row r="154">
      <c r="A154" s="110" t="s">
        <v>512</v>
      </c>
      <c r="B154" s="111" t="str">
        <f>HYPERLINK("http://codeforces.com/contest/706/problem/B","CF706-D2-B")</f>
        <v>CF706-D2-B</v>
      </c>
      <c r="C154" s="50"/>
      <c r="D154" s="50"/>
      <c r="E154" s="50"/>
      <c r="F154" s="50"/>
      <c r="G154" s="50"/>
      <c r="H154" s="186"/>
      <c r="I154" s="81">
        <f t="shared" si="4"/>
        <v>0</v>
      </c>
      <c r="J154" s="86"/>
      <c r="K154" s="80"/>
      <c r="L154" s="50"/>
      <c r="M154" s="47"/>
    </row>
    <row r="155">
      <c r="A155" s="110" t="s">
        <v>513</v>
      </c>
      <c r="B155" s="111" t="str">
        <f>HYPERLINK("http://codeforces.com/contest/424/problem/B","CF424-D2-B")</f>
        <v>CF424-D2-B</v>
      </c>
      <c r="C155" s="50"/>
      <c r="D155" s="50"/>
      <c r="E155" s="50"/>
      <c r="F155" s="50"/>
      <c r="G155" s="50"/>
      <c r="H155" s="186"/>
      <c r="I155" s="81">
        <f t="shared" si="4"/>
        <v>0</v>
      </c>
      <c r="J155" s="86"/>
      <c r="K155" s="80"/>
      <c r="L155" s="50"/>
      <c r="M155" s="47"/>
    </row>
    <row r="156">
      <c r="A156" s="110" t="s">
        <v>514</v>
      </c>
      <c r="B156" s="111" t="str">
        <f>HYPERLINK("http://codeforces.com/contest/651/problem/B","CF651-D2-B")</f>
        <v>CF651-D2-B</v>
      </c>
      <c r="C156" s="50"/>
      <c r="D156" s="50"/>
      <c r="E156" s="50"/>
      <c r="F156" s="50"/>
      <c r="G156" s="50"/>
      <c r="H156" s="186"/>
      <c r="I156" s="81">
        <f t="shared" si="4"/>
        <v>0</v>
      </c>
      <c r="J156" s="86"/>
      <c r="K156" s="80"/>
      <c r="L156" s="50"/>
      <c r="M156" s="47"/>
    </row>
    <row r="157">
      <c r="A157" s="110" t="s">
        <v>515</v>
      </c>
      <c r="B157" s="111" t="str">
        <f>HYPERLINK("http://codeforces.com/contest/313/problem/B","CF313-D2-B")</f>
        <v>CF313-D2-B</v>
      </c>
      <c r="C157" s="50"/>
      <c r="D157" s="50"/>
      <c r="E157" s="50"/>
      <c r="F157" s="50"/>
      <c r="G157" s="50"/>
      <c r="H157" s="186"/>
      <c r="I157" s="81">
        <f t="shared" si="4"/>
        <v>0</v>
      </c>
      <c r="J157" s="86"/>
      <c r="K157" s="80"/>
      <c r="L157" s="50"/>
      <c r="M157" s="47"/>
    </row>
    <row r="158">
      <c r="A158" s="110" t="s">
        <v>516</v>
      </c>
      <c r="B158" s="111" t="str">
        <f>HYPERLINK("http://codeforces.com/contest/255/problem/B","CF255-D2-B")</f>
        <v>CF255-D2-B</v>
      </c>
      <c r="C158" s="50"/>
      <c r="D158" s="50"/>
      <c r="E158" s="50"/>
      <c r="F158" s="50"/>
      <c r="G158" s="50"/>
      <c r="H158" s="186"/>
      <c r="I158" s="81">
        <f t="shared" si="4"/>
        <v>0</v>
      </c>
      <c r="J158" s="86"/>
      <c r="K158" s="80"/>
      <c r="L158" s="50"/>
      <c r="M158" s="47"/>
    </row>
    <row r="159">
      <c r="A159" s="110" t="s">
        <v>517</v>
      </c>
      <c r="B159" s="111" t="str">
        <f>HYPERLINK("http://codeforces.com/contest/327/problem/B","CF327-D2-B")</f>
        <v>CF327-D2-B</v>
      </c>
      <c r="C159" s="50"/>
      <c r="D159" s="50"/>
      <c r="E159" s="50"/>
      <c r="F159" s="50"/>
      <c r="G159" s="50"/>
      <c r="H159" s="186"/>
      <c r="I159" s="81">
        <f t="shared" si="4"/>
        <v>0</v>
      </c>
      <c r="J159" s="86"/>
      <c r="K159" s="80"/>
      <c r="L159" s="50"/>
      <c r="M159" s="47"/>
    </row>
    <row r="160">
      <c r="A160" s="110" t="s">
        <v>518</v>
      </c>
      <c r="B160" s="111" t="str">
        <f>HYPERLINK("http://codeforces.com/contest/743/problem/B","CF743-D2-B")</f>
        <v>CF743-D2-B</v>
      </c>
      <c r="C160" s="50"/>
      <c r="D160" s="50"/>
      <c r="E160" s="50"/>
      <c r="F160" s="50"/>
      <c r="G160" s="50"/>
      <c r="H160" s="186"/>
      <c r="I160" s="81">
        <f t="shared" si="4"/>
        <v>0</v>
      </c>
      <c r="J160" s="86"/>
      <c r="K160" s="80"/>
      <c r="L160" s="50"/>
      <c r="M160" s="232"/>
    </row>
    <row r="161">
      <c r="A161" s="110" t="s">
        <v>519</v>
      </c>
      <c r="B161" s="111" t="str">
        <f>HYPERLINK("http://codeforces.com/contest/581/problem/B","CF581-D2-B")</f>
        <v>CF581-D2-B</v>
      </c>
      <c r="C161" s="50"/>
      <c r="D161" s="50"/>
      <c r="E161" s="50"/>
      <c r="F161" s="50"/>
      <c r="G161" s="50"/>
      <c r="H161" s="186"/>
      <c r="I161" s="81">
        <f t="shared" si="4"/>
        <v>0</v>
      </c>
      <c r="J161" s="86"/>
      <c r="K161" s="80"/>
      <c r="L161" s="50"/>
      <c r="M161" s="47"/>
    </row>
    <row r="162">
      <c r="A162" s="110"/>
      <c r="B162" s="111"/>
      <c r="C162" s="50"/>
      <c r="D162" s="50"/>
      <c r="E162" s="50"/>
      <c r="F162" s="50"/>
      <c r="G162" s="50"/>
      <c r="H162" s="186"/>
      <c r="I162" s="81">
        <f t="shared" si="4"/>
        <v>0</v>
      </c>
      <c r="J162" s="86"/>
      <c r="K162" s="80"/>
      <c r="L162" s="50"/>
      <c r="M162" s="47"/>
    </row>
    <row r="163">
      <c r="A163" s="192" t="s">
        <v>520</v>
      </c>
      <c r="B163" s="212" t="str">
        <f>HYPERLINK("http://codeforces.com/contest/63/problem/B","CF63-D2-B")</f>
        <v>CF63-D2-B</v>
      </c>
      <c r="C163" s="185"/>
      <c r="D163" s="185"/>
      <c r="E163" s="185"/>
      <c r="F163" s="185"/>
      <c r="G163" s="185"/>
      <c r="H163" s="186"/>
      <c r="I163" s="81">
        <f t="shared" si="4"/>
        <v>0</v>
      </c>
      <c r="J163" s="86"/>
      <c r="K163" s="80"/>
      <c r="L163" s="185"/>
      <c r="M163" s="151"/>
    </row>
    <row r="164">
      <c r="A164" s="192" t="s">
        <v>521</v>
      </c>
      <c r="B164" s="212" t="str">
        <f>HYPERLINK("http://codeforces.com/contest/629/problem/B","CF629-D2-B")</f>
        <v>CF629-D2-B</v>
      </c>
      <c r="C164" s="185"/>
      <c r="D164" s="185"/>
      <c r="E164" s="185"/>
      <c r="F164" s="185"/>
      <c r="G164" s="185"/>
      <c r="H164" s="186"/>
      <c r="I164" s="81">
        <f t="shared" si="4"/>
        <v>0</v>
      </c>
      <c r="J164" s="86"/>
      <c r="K164" s="80"/>
      <c r="L164" s="185"/>
      <c r="M164" s="151"/>
    </row>
    <row r="165">
      <c r="A165" s="192" t="s">
        <v>522</v>
      </c>
      <c r="B165" s="212" t="str">
        <f>HYPERLINK("http://codeforces.com/contest/596/problem/B","CF596-D2-B")</f>
        <v>CF596-D2-B</v>
      </c>
      <c r="C165" s="185"/>
      <c r="D165" s="185"/>
      <c r="E165" s="185"/>
      <c r="F165" s="185"/>
      <c r="G165" s="185"/>
      <c r="H165" s="186"/>
      <c r="I165" s="81">
        <f t="shared" si="4"/>
        <v>0</v>
      </c>
      <c r="J165" s="86"/>
      <c r="K165" s="80"/>
      <c r="L165" s="185"/>
      <c r="M165" s="151"/>
    </row>
    <row r="166">
      <c r="A166" s="192" t="s">
        <v>523</v>
      </c>
      <c r="B166" s="212" t="str">
        <f>HYPERLINK("http://codeforces.com/contest/723/problem/B","CF723-D2-B")</f>
        <v>CF723-D2-B</v>
      </c>
      <c r="C166" s="185"/>
      <c r="D166" s="185"/>
      <c r="E166" s="185"/>
      <c r="F166" s="185"/>
      <c r="G166" s="185"/>
      <c r="H166" s="186"/>
      <c r="I166" s="81">
        <f t="shared" si="4"/>
        <v>0</v>
      </c>
      <c r="J166" s="86"/>
      <c r="K166" s="80"/>
      <c r="L166" s="185"/>
      <c r="M166" s="151"/>
    </row>
    <row r="167">
      <c r="A167" s="192" t="s">
        <v>524</v>
      </c>
      <c r="B167" s="212" t="str">
        <f>HYPERLINK("http://codeforces.com/contest/431/problem/B","CF431-D2-B")</f>
        <v>CF431-D2-B</v>
      </c>
      <c r="C167" s="185"/>
      <c r="D167" s="185"/>
      <c r="E167" s="185"/>
      <c r="F167" s="185"/>
      <c r="G167" s="185"/>
      <c r="H167" s="186"/>
      <c r="I167" s="81">
        <f t="shared" si="4"/>
        <v>0</v>
      </c>
      <c r="J167" s="86"/>
      <c r="K167" s="80"/>
      <c r="L167" s="185"/>
      <c r="M167" s="151"/>
    </row>
    <row r="168">
      <c r="A168" s="192" t="s">
        <v>525</v>
      </c>
      <c r="B168" s="212" t="str">
        <f>HYPERLINK("http://codeforces.com/contest/501/problem/B","CF501-D2-B")</f>
        <v>CF501-D2-B</v>
      </c>
      <c r="C168" s="185"/>
      <c r="D168" s="185"/>
      <c r="E168" s="185"/>
      <c r="F168" s="185"/>
      <c r="G168" s="185"/>
      <c r="H168" s="186"/>
      <c r="I168" s="81">
        <f t="shared" si="4"/>
        <v>0</v>
      </c>
      <c r="J168" s="86"/>
      <c r="K168" s="80"/>
      <c r="L168" s="185"/>
      <c r="M168" s="151"/>
    </row>
    <row r="169">
      <c r="A169" s="192" t="s">
        <v>526</v>
      </c>
      <c r="B169" s="212" t="str">
        <f>HYPERLINK("http://codeforces.com/contest/667/problem/B","CF667-D2-B")</f>
        <v>CF667-D2-B</v>
      </c>
      <c r="C169" s="185"/>
      <c r="D169" s="185"/>
      <c r="E169" s="185"/>
      <c r="F169" s="185"/>
      <c r="G169" s="185"/>
      <c r="H169" s="186"/>
      <c r="I169" s="81">
        <f t="shared" si="4"/>
        <v>0</v>
      </c>
      <c r="J169" s="86"/>
      <c r="K169" s="80"/>
      <c r="L169" s="185"/>
      <c r="M169" s="151"/>
    </row>
    <row r="170">
      <c r="A170" s="192" t="s">
        <v>527</v>
      </c>
      <c r="B170" s="212" t="str">
        <f>HYPERLINK("http://codeforces.com/contest/136/problem/B","CF136-D2-B")</f>
        <v>CF136-D2-B</v>
      </c>
      <c r="C170" s="185"/>
      <c r="D170" s="185"/>
      <c r="E170" s="185"/>
      <c r="F170" s="185"/>
      <c r="G170" s="185"/>
      <c r="H170" s="186"/>
      <c r="I170" s="81">
        <f t="shared" si="4"/>
        <v>0</v>
      </c>
      <c r="J170" s="86"/>
      <c r="K170" s="80"/>
      <c r="L170" s="185"/>
      <c r="M170" s="151"/>
    </row>
    <row r="171">
      <c r="A171" s="110" t="s">
        <v>528</v>
      </c>
      <c r="B171" s="111" t="str">
        <f>HYPERLINK("http://codeforces.com/contest/189/problem/B","CF189-D2-B")</f>
        <v>CF189-D2-B</v>
      </c>
      <c r="C171" s="50"/>
      <c r="D171" s="50"/>
      <c r="E171" s="50"/>
      <c r="F171" s="50"/>
      <c r="G171" s="50"/>
      <c r="H171" s="186"/>
      <c r="I171" s="81">
        <f t="shared" si="4"/>
        <v>0</v>
      </c>
      <c r="J171" s="86"/>
      <c r="K171" s="80"/>
      <c r="L171" s="50"/>
      <c r="M171" s="47"/>
    </row>
    <row r="172">
      <c r="A172" s="110" t="s">
        <v>529</v>
      </c>
      <c r="B172" s="111" t="str">
        <f>HYPERLINK("http://codeforces.com/contest/459/problem/B","CF459-D2-B")</f>
        <v>CF459-D2-B</v>
      </c>
      <c r="C172" s="50"/>
      <c r="D172" s="50"/>
      <c r="E172" s="50"/>
      <c r="F172" s="50"/>
      <c r="G172" s="50"/>
      <c r="H172" s="186"/>
      <c r="I172" s="81">
        <f t="shared" si="4"/>
        <v>0</v>
      </c>
      <c r="J172" s="86"/>
      <c r="K172" s="80"/>
      <c r="L172" s="50"/>
      <c r="M172" s="47"/>
    </row>
    <row r="173">
      <c r="A173" s="87"/>
      <c r="C173" s="185"/>
      <c r="D173" s="185"/>
      <c r="E173" s="185"/>
      <c r="F173" s="185"/>
      <c r="G173" s="185"/>
      <c r="H173" s="186"/>
      <c r="I173" s="81">
        <f t="shared" si="4"/>
        <v>0</v>
      </c>
      <c r="J173" s="86"/>
      <c r="K173" s="80"/>
      <c r="L173" s="185"/>
      <c r="M173" s="151"/>
    </row>
    <row r="174">
      <c r="A174" s="192" t="s">
        <v>530</v>
      </c>
      <c r="B174" s="212" t="str">
        <f>HYPERLINK("http://codeforces.com/contest/592/problem/B","CF592-D2-B")</f>
        <v>CF592-D2-B</v>
      </c>
      <c r="C174" s="185"/>
      <c r="D174" s="185"/>
      <c r="E174" s="185"/>
      <c r="F174" s="185"/>
      <c r="G174" s="185"/>
      <c r="H174" s="186"/>
      <c r="I174" s="81">
        <f t="shared" si="4"/>
        <v>0</v>
      </c>
      <c r="J174" s="86"/>
      <c r="K174" s="80"/>
      <c r="L174" s="185"/>
      <c r="M174" s="151"/>
    </row>
    <row r="175">
      <c r="A175" s="192" t="s">
        <v>531</v>
      </c>
      <c r="B175" s="212" t="str">
        <f>HYPERLINK("http://codeforces.com/contest/365/problem/B","CF365-D2-B")</f>
        <v>CF365-D2-B</v>
      </c>
      <c r="C175" s="185"/>
      <c r="D175" s="185"/>
      <c r="E175" s="185"/>
      <c r="F175" s="185"/>
      <c r="G175" s="185"/>
      <c r="H175" s="186"/>
      <c r="I175" s="81">
        <f t="shared" si="4"/>
        <v>0</v>
      </c>
      <c r="J175" s="86"/>
      <c r="K175" s="80"/>
      <c r="L175" s="185"/>
      <c r="M175" s="151"/>
    </row>
    <row r="176">
      <c r="A176" s="192" t="s">
        <v>532</v>
      </c>
      <c r="B176" s="212" t="str">
        <f>HYPERLINK("http://codeforces.com/contest/705/problem/B","CF705-D2-B")</f>
        <v>CF705-D2-B</v>
      </c>
      <c r="C176" s="185"/>
      <c r="D176" s="185"/>
      <c r="E176" s="185"/>
      <c r="F176" s="185"/>
      <c r="G176" s="185"/>
      <c r="H176" s="186"/>
      <c r="I176" s="81">
        <f t="shared" si="4"/>
        <v>0</v>
      </c>
      <c r="J176" s="86"/>
      <c r="K176" s="80"/>
      <c r="L176" s="185"/>
      <c r="M176" s="151"/>
    </row>
    <row r="177">
      <c r="A177" s="192" t="s">
        <v>533</v>
      </c>
      <c r="B177" s="212" t="str">
        <f>HYPERLINK("http://codeforces.com/contest/686/problem/B","CF686-D2-B")</f>
        <v>CF686-D2-B</v>
      </c>
      <c r="C177" s="185"/>
      <c r="D177" s="185"/>
      <c r="E177" s="185"/>
      <c r="F177" s="185"/>
      <c r="G177" s="185"/>
      <c r="H177" s="186"/>
      <c r="I177" s="81">
        <f t="shared" si="4"/>
        <v>0</v>
      </c>
      <c r="J177" s="86"/>
      <c r="K177" s="80"/>
      <c r="L177" s="185"/>
      <c r="M177" s="151"/>
    </row>
    <row r="178">
      <c r="A178" s="192" t="s">
        <v>534</v>
      </c>
      <c r="B178" s="212" t="str">
        <f>HYPERLINK("http://codeforces.com/contest/133/problem/B","CF133-D2-B")</f>
        <v>CF133-D2-B</v>
      </c>
      <c r="C178" s="185"/>
      <c r="D178" s="185"/>
      <c r="E178" s="185"/>
      <c r="F178" s="185"/>
      <c r="G178" s="185"/>
      <c r="H178" s="186"/>
      <c r="I178" s="81">
        <f t="shared" si="4"/>
        <v>0</v>
      </c>
      <c r="J178" s="86"/>
      <c r="K178" s="80"/>
      <c r="L178" s="185"/>
      <c r="M178" s="151"/>
    </row>
    <row r="179">
      <c r="A179" s="192" t="s">
        <v>535</v>
      </c>
      <c r="B179" s="212" t="str">
        <f>HYPERLINK("http://codeforces.com/contest/127/problem/B","CF127-D2-B")</f>
        <v>CF127-D2-B</v>
      </c>
      <c r="C179" s="185"/>
      <c r="D179" s="185"/>
      <c r="E179" s="185"/>
      <c r="F179" s="185"/>
      <c r="G179" s="185"/>
      <c r="H179" s="186"/>
      <c r="I179" s="81">
        <f t="shared" si="4"/>
        <v>0</v>
      </c>
      <c r="J179" s="86"/>
      <c r="K179" s="80"/>
      <c r="L179" s="185"/>
      <c r="M179" s="151"/>
    </row>
    <row r="180">
      <c r="A180" s="192" t="s">
        <v>536</v>
      </c>
      <c r="B180" s="212" t="str">
        <f>HYPERLINK("http://codeforces.com/contest/554/problem/B","CF554-D2-B")</f>
        <v>CF554-D2-B</v>
      </c>
      <c r="C180" s="185"/>
      <c r="D180" s="185"/>
      <c r="E180" s="185"/>
      <c r="F180" s="185"/>
      <c r="G180" s="185"/>
      <c r="H180" s="186"/>
      <c r="I180" s="81">
        <f t="shared" si="4"/>
        <v>0</v>
      </c>
      <c r="J180" s="86"/>
      <c r="K180" s="80"/>
      <c r="L180" s="185"/>
      <c r="M180" s="151"/>
    </row>
    <row r="181">
      <c r="A181" s="192" t="s">
        <v>537</v>
      </c>
      <c r="B181" s="212" t="str">
        <f>HYPERLINK("http://codeforces.com/contest/408/problem/B","CF408-D2-B")</f>
        <v>CF408-D2-B</v>
      </c>
      <c r="C181" s="185"/>
      <c r="D181" s="185"/>
      <c r="E181" s="185"/>
      <c r="F181" s="185"/>
      <c r="G181" s="185"/>
      <c r="H181" s="186"/>
      <c r="I181" s="81">
        <f t="shared" si="4"/>
        <v>0</v>
      </c>
      <c r="J181" s="86"/>
      <c r="K181" s="80"/>
      <c r="L181" s="185"/>
      <c r="M181" s="151"/>
    </row>
    <row r="182">
      <c r="A182" s="192" t="s">
        <v>538</v>
      </c>
      <c r="B182" s="212" t="str">
        <f>HYPERLINK("http://codeforces.com/contest/362/problem/B","CF362-D2-B")</f>
        <v>CF362-D2-B</v>
      </c>
      <c r="C182" s="185"/>
      <c r="D182" s="185"/>
      <c r="E182" s="185"/>
      <c r="F182" s="185"/>
      <c r="G182" s="185"/>
      <c r="H182" s="186"/>
      <c r="I182" s="81">
        <f t="shared" si="4"/>
        <v>0</v>
      </c>
      <c r="J182" s="86"/>
      <c r="K182" s="80"/>
      <c r="L182" s="185"/>
      <c r="M182" s="151"/>
    </row>
    <row r="183">
      <c r="A183" s="192" t="s">
        <v>539</v>
      </c>
      <c r="B183" s="212" t="str">
        <f>HYPERLINK("http://codeforces.com/contest/545/problem/B","CF545-D2-B")</f>
        <v>CF545-D2-B</v>
      </c>
      <c r="C183" s="185"/>
      <c r="D183" s="185"/>
      <c r="E183" s="185"/>
      <c r="F183" s="185"/>
      <c r="G183" s="185"/>
      <c r="H183" s="186"/>
      <c r="I183" s="81">
        <f t="shared" si="4"/>
        <v>0</v>
      </c>
      <c r="J183" s="86"/>
      <c r="K183" s="80"/>
      <c r="L183" s="185"/>
      <c r="M183" s="151"/>
    </row>
    <row r="184">
      <c r="A184" s="110" t="s">
        <v>540</v>
      </c>
      <c r="B184" s="111" t="str">
        <f>HYPERLINK("http://codeforces.com/contest/677/problem/B","CF677-D2-B")</f>
        <v>CF677-D2-B</v>
      </c>
      <c r="C184" s="50"/>
      <c r="D184" s="50"/>
      <c r="E184" s="50"/>
      <c r="F184" s="50"/>
      <c r="G184" s="50"/>
      <c r="H184" s="186"/>
      <c r="I184" s="81">
        <f t="shared" si="4"/>
        <v>0</v>
      </c>
      <c r="J184" s="86"/>
      <c r="K184" s="80"/>
      <c r="L184" s="50"/>
      <c r="M184" s="47"/>
    </row>
    <row r="185">
      <c r="A185" s="110" t="s">
        <v>541</v>
      </c>
      <c r="B185" s="111" t="str">
        <f>HYPERLINK("http://codeforces.com/contest/304/problem/B","CF304-D2-B")</f>
        <v>CF304-D2-B</v>
      </c>
      <c r="C185" s="50"/>
      <c r="D185" s="50"/>
      <c r="E185" s="50"/>
      <c r="F185" s="50"/>
      <c r="G185" s="50"/>
      <c r="H185" s="186"/>
      <c r="I185" s="81">
        <f t="shared" si="4"/>
        <v>0</v>
      </c>
      <c r="J185" s="86"/>
      <c r="K185" s="80"/>
      <c r="L185" s="50"/>
      <c r="M185" s="47"/>
    </row>
    <row r="186">
      <c r="A186" s="110" t="s">
        <v>542</v>
      </c>
      <c r="B186" s="111" t="str">
        <f>HYPERLINK("http://codeforces.com/contest/507/problem/B","CF507-D2-B")</f>
        <v>CF507-D2-B</v>
      </c>
      <c r="C186" s="50"/>
      <c r="D186" s="50"/>
      <c r="E186" s="50"/>
      <c r="F186" s="50"/>
      <c r="G186" s="50"/>
      <c r="H186" s="186"/>
      <c r="I186" s="81">
        <f t="shared" si="4"/>
        <v>0</v>
      </c>
      <c r="J186" s="86"/>
      <c r="K186" s="80"/>
      <c r="L186" s="50"/>
      <c r="M186" s="47"/>
    </row>
    <row r="187">
      <c r="A187" s="110" t="s">
        <v>543</v>
      </c>
      <c r="B187" s="111" t="str">
        <f>HYPERLINK("http://codeforces.com/contest/289/problem/B","CF289-D2-B")</f>
        <v>CF289-D2-B</v>
      </c>
      <c r="C187" s="50"/>
      <c r="D187" s="50"/>
      <c r="E187" s="50"/>
      <c r="F187" s="50"/>
      <c r="G187" s="50"/>
      <c r="H187" s="186"/>
      <c r="I187" s="81">
        <f t="shared" si="4"/>
        <v>0</v>
      </c>
      <c r="J187" s="86"/>
      <c r="K187" s="80"/>
      <c r="L187" s="50"/>
      <c r="M187" s="47"/>
    </row>
    <row r="188">
      <c r="A188" s="87"/>
      <c r="C188" s="185"/>
      <c r="D188" s="185"/>
      <c r="E188" s="185"/>
      <c r="F188" s="185"/>
      <c r="G188" s="185"/>
      <c r="H188" s="186"/>
      <c r="I188" s="81">
        <f t="shared" si="4"/>
        <v>0</v>
      </c>
      <c r="J188" s="86"/>
      <c r="K188" s="80"/>
      <c r="L188" s="185"/>
      <c r="M188" s="151"/>
    </row>
    <row r="189">
      <c r="A189" s="192" t="s">
        <v>544</v>
      </c>
      <c r="B189" s="212" t="str">
        <f>HYPERLINK("http://codeforces.com/contest/387/problem/B","CF387-D2-B")</f>
        <v>CF387-D2-B</v>
      </c>
      <c r="C189" s="185"/>
      <c r="D189" s="185"/>
      <c r="E189" s="185"/>
      <c r="F189" s="185"/>
      <c r="G189" s="185"/>
      <c r="H189" s="186"/>
      <c r="I189" s="81">
        <f t="shared" si="4"/>
        <v>0</v>
      </c>
      <c r="J189" s="86"/>
      <c r="K189" s="80"/>
      <c r="L189" s="185"/>
      <c r="M189" s="151"/>
    </row>
    <row r="190">
      <c r="A190" s="192" t="s">
        <v>545</v>
      </c>
      <c r="B190" s="212" t="str">
        <f>HYPERLINK("http://codeforces.com/contest/740/problem/B","CF740-D2-B")</f>
        <v>CF740-D2-B</v>
      </c>
      <c r="C190" s="185"/>
      <c r="D190" s="185"/>
      <c r="E190" s="185"/>
      <c r="F190" s="185"/>
      <c r="G190" s="185"/>
      <c r="H190" s="186"/>
      <c r="I190" s="81">
        <f t="shared" si="4"/>
        <v>0</v>
      </c>
      <c r="J190" s="86"/>
      <c r="K190" s="80"/>
      <c r="L190" s="185"/>
      <c r="M190" s="151"/>
    </row>
    <row r="191">
      <c r="A191" s="192" t="s">
        <v>546</v>
      </c>
      <c r="B191" s="212" t="str">
        <f>HYPERLINK("http://codeforces.com/contest/735/problem/B","CF735-D2-B")</f>
        <v>CF735-D2-B</v>
      </c>
      <c r="C191" s="185"/>
      <c r="D191" s="185"/>
      <c r="E191" s="185"/>
      <c r="F191" s="185"/>
      <c r="G191" s="185"/>
      <c r="H191" s="186"/>
      <c r="I191" s="81">
        <f t="shared" si="4"/>
        <v>0</v>
      </c>
      <c r="J191" s="86"/>
      <c r="K191" s="80"/>
      <c r="L191" s="185"/>
      <c r="M191" s="151"/>
    </row>
    <row r="192">
      <c r="A192" s="192" t="s">
        <v>547</v>
      </c>
      <c r="B192" s="212" t="str">
        <f>HYPERLINK("http://codeforces.com/contest/104/problem/B","CF104-D2-B")</f>
        <v>CF104-D2-B</v>
      </c>
      <c r="C192" s="185"/>
      <c r="D192" s="185"/>
      <c r="E192" s="185"/>
      <c r="F192" s="185"/>
      <c r="G192" s="185"/>
      <c r="H192" s="186"/>
      <c r="I192" s="81">
        <f t="shared" si="4"/>
        <v>0</v>
      </c>
      <c r="J192" s="86"/>
      <c r="K192" s="80"/>
      <c r="L192" s="185"/>
      <c r="M192" s="151"/>
    </row>
    <row r="193">
      <c r="A193" s="192" t="s">
        <v>548</v>
      </c>
      <c r="B193" s="212" t="str">
        <f>HYPERLINK("http://codeforces.com/contest/701/problem/B","CF701-D2-B")</f>
        <v>CF701-D2-B</v>
      </c>
      <c r="C193" s="185"/>
      <c r="D193" s="185"/>
      <c r="E193" s="185"/>
      <c r="F193" s="185"/>
      <c r="G193" s="185"/>
      <c r="H193" s="186"/>
      <c r="I193" s="81">
        <f t="shared" si="4"/>
        <v>0</v>
      </c>
      <c r="J193" s="86"/>
      <c r="K193" s="80"/>
      <c r="L193" s="185"/>
      <c r="M193" s="151"/>
    </row>
    <row r="194">
      <c r="A194" s="192" t="s">
        <v>549</v>
      </c>
      <c r="B194" s="212" t="str">
        <f>HYPERLINK("http://codeforces.com/contest/552/problem/B","CF552-D2-B")</f>
        <v>CF552-D2-B</v>
      </c>
      <c r="C194" s="185"/>
      <c r="D194" s="185"/>
      <c r="E194" s="185"/>
      <c r="F194" s="185"/>
      <c r="G194" s="185"/>
      <c r="H194" s="186"/>
      <c r="I194" s="81">
        <f t="shared" si="4"/>
        <v>0</v>
      </c>
      <c r="J194" s="86"/>
      <c r="K194" s="80"/>
      <c r="L194" s="185"/>
      <c r="M194" s="151"/>
    </row>
    <row r="195">
      <c r="A195" s="192" t="s">
        <v>550</v>
      </c>
      <c r="B195" s="212" t="str">
        <f>HYPERLINK("http://codeforces.com/contest/474/problem/B","CF474-D2-B")</f>
        <v>CF474-D2-B</v>
      </c>
      <c r="C195" s="185"/>
      <c r="D195" s="185"/>
      <c r="E195" s="185"/>
      <c r="F195" s="185"/>
      <c r="G195" s="185"/>
      <c r="H195" s="186"/>
      <c r="I195" s="81">
        <f t="shared" si="4"/>
        <v>0</v>
      </c>
      <c r="J195" s="86"/>
      <c r="K195" s="80"/>
      <c r="L195" s="185"/>
      <c r="M195" s="151"/>
    </row>
    <row r="196">
      <c r="A196" s="192" t="s">
        <v>551</v>
      </c>
      <c r="B196" s="212" t="str">
        <f>HYPERLINK("http://codeforces.com/contest/59/problem/B","CF59-D2-B")</f>
        <v>CF59-D2-B</v>
      </c>
      <c r="C196" s="185"/>
      <c r="D196" s="185"/>
      <c r="E196" s="185"/>
      <c r="F196" s="185"/>
      <c r="G196" s="185"/>
      <c r="H196" s="186"/>
      <c r="I196" s="81">
        <f t="shared" si="4"/>
        <v>0</v>
      </c>
      <c r="J196" s="86"/>
      <c r="K196" s="80"/>
      <c r="L196" s="185"/>
      <c r="M196" s="151"/>
    </row>
    <row r="197">
      <c r="A197" s="87"/>
      <c r="C197" s="185"/>
      <c r="D197" s="185"/>
      <c r="E197" s="185"/>
      <c r="F197" s="185"/>
      <c r="G197" s="185"/>
      <c r="H197" s="186"/>
      <c r="I197" s="81">
        <f t="shared" si="4"/>
        <v>0</v>
      </c>
      <c r="J197" s="86"/>
      <c r="K197" s="80"/>
      <c r="L197" s="185"/>
      <c r="M197" s="151"/>
    </row>
    <row r="198">
      <c r="A198" s="192" t="s">
        <v>552</v>
      </c>
      <c r="B198" s="212" t="str">
        <f>HYPERLINK("http://codeforces.com/contest/192/problem/B","CF192-D2-B")</f>
        <v>CF192-D2-B</v>
      </c>
      <c r="C198" s="185"/>
      <c r="D198" s="185"/>
      <c r="E198" s="185"/>
      <c r="F198" s="185"/>
      <c r="G198" s="185"/>
      <c r="H198" s="186"/>
      <c r="I198" s="81">
        <f t="shared" si="4"/>
        <v>0</v>
      </c>
      <c r="J198" s="86"/>
      <c r="K198" s="80"/>
      <c r="L198" s="185"/>
      <c r="M198" s="151"/>
    </row>
    <row r="199">
      <c r="A199" s="192" t="s">
        <v>553</v>
      </c>
      <c r="B199" s="212" t="str">
        <f>HYPERLINK("http://codeforces.com/contest/366/problem/B","CF366-D2-B")</f>
        <v>CF366-D2-B</v>
      </c>
      <c r="C199" s="185"/>
      <c r="D199" s="185"/>
      <c r="E199" s="185"/>
      <c r="F199" s="185"/>
      <c r="G199" s="185"/>
      <c r="H199" s="186"/>
      <c r="I199" s="81">
        <f t="shared" si="4"/>
        <v>0</v>
      </c>
      <c r="J199" s="86"/>
      <c r="K199" s="80"/>
      <c r="L199" s="185"/>
      <c r="M199" s="151"/>
    </row>
    <row r="200">
      <c r="A200" s="192" t="s">
        <v>554</v>
      </c>
      <c r="B200" s="212" t="str">
        <f>HYPERLINK("http://codeforces.com/contest/298/problem/B","CF298-D2-B")</f>
        <v>CF298-D2-B</v>
      </c>
      <c r="C200" s="185"/>
      <c r="D200" s="185"/>
      <c r="E200" s="185"/>
      <c r="F200" s="185"/>
      <c r="G200" s="185"/>
      <c r="H200" s="186"/>
      <c r="I200" s="81">
        <f t="shared" si="4"/>
        <v>0</v>
      </c>
      <c r="J200" s="86"/>
      <c r="K200" s="80"/>
      <c r="L200" s="185"/>
      <c r="M200" s="151"/>
    </row>
    <row r="201">
      <c r="A201" s="192" t="s">
        <v>555</v>
      </c>
      <c r="B201" s="212" t="str">
        <f>HYPERLINK("http://codeforces.com/contest/389/problem/B","CF389-D2-B")</f>
        <v>CF389-D2-B</v>
      </c>
      <c r="C201" s="185"/>
      <c r="D201" s="185"/>
      <c r="E201" s="185"/>
      <c r="F201" s="185"/>
      <c r="G201" s="185"/>
      <c r="H201" s="186"/>
      <c r="I201" s="81">
        <f t="shared" si="4"/>
        <v>0</v>
      </c>
      <c r="J201" s="86"/>
      <c r="K201" s="80"/>
      <c r="L201" s="185"/>
      <c r="M201" s="151"/>
    </row>
    <row r="202">
      <c r="A202" s="192" t="s">
        <v>556</v>
      </c>
      <c r="B202" s="212" t="str">
        <f>HYPERLINK("http://codeforces.com/contest/591/problem/B","CF591-D2-B")</f>
        <v>CF591-D2-B</v>
      </c>
      <c r="C202" s="185"/>
      <c r="D202" s="185"/>
      <c r="E202" s="185"/>
      <c r="F202" s="185"/>
      <c r="G202" s="185"/>
      <c r="H202" s="186"/>
      <c r="I202" s="81">
        <f t="shared" si="4"/>
        <v>0</v>
      </c>
      <c r="J202" s="86"/>
      <c r="K202" s="80"/>
      <c r="L202" s="185"/>
      <c r="M202" s="151"/>
    </row>
    <row r="203">
      <c r="A203" s="192" t="s">
        <v>557</v>
      </c>
      <c r="B203" s="212" t="str">
        <f>HYPERLINK("http://codeforces.com/contest/246/problem/B","CF246-D2-B")</f>
        <v>CF246-D2-B</v>
      </c>
      <c r="C203" s="185"/>
      <c r="D203" s="185"/>
      <c r="E203" s="185"/>
      <c r="F203" s="185"/>
      <c r="G203" s="185"/>
      <c r="H203" s="186"/>
      <c r="I203" s="81">
        <f t="shared" si="4"/>
        <v>0</v>
      </c>
      <c r="J203" s="86"/>
      <c r="K203" s="80"/>
      <c r="L203" s="185"/>
      <c r="M203" s="151"/>
    </row>
    <row r="204">
      <c r="A204" s="192" t="s">
        <v>558</v>
      </c>
      <c r="B204" s="212" t="str">
        <f>HYPERLINK("http://codeforces.com/contest/682/problem/B","CF682-D2-B")</f>
        <v>CF682-D2-B</v>
      </c>
      <c r="C204" s="185"/>
      <c r="D204" s="185"/>
      <c r="E204" s="185"/>
      <c r="F204" s="185"/>
      <c r="G204" s="185"/>
      <c r="H204" s="186"/>
      <c r="I204" s="81">
        <f t="shared" si="4"/>
        <v>0</v>
      </c>
      <c r="J204" s="86"/>
      <c r="K204" s="80"/>
      <c r="L204" s="185"/>
      <c r="M204" s="151"/>
    </row>
    <row r="205">
      <c r="A205" s="192" t="s">
        <v>396</v>
      </c>
      <c r="B205" s="212" t="str">
        <f>HYPERLINK("http://codeforces.com/contest/58/problem/B","CF58-D2-B")</f>
        <v>CF58-D2-B</v>
      </c>
      <c r="C205" s="185"/>
      <c r="D205" s="185"/>
      <c r="E205" s="185"/>
      <c r="F205" s="185"/>
      <c r="G205" s="185"/>
      <c r="H205" s="186"/>
      <c r="I205" s="81">
        <f t="shared" si="4"/>
        <v>0</v>
      </c>
      <c r="J205" s="86"/>
      <c r="K205" s="80"/>
      <c r="L205" s="185"/>
      <c r="M205" s="151"/>
    </row>
    <row r="206">
      <c r="A206" s="192" t="s">
        <v>559</v>
      </c>
      <c r="B206" s="212" t="str">
        <f>HYPERLINK("http://codeforces.com/contest/567/problem/B","CF567-D2-B")</f>
        <v>CF567-D2-B</v>
      </c>
      <c r="C206" s="185"/>
      <c r="D206" s="185"/>
      <c r="E206" s="185"/>
      <c r="F206" s="185"/>
      <c r="G206" s="185"/>
      <c r="H206" s="186"/>
      <c r="I206" s="81">
        <f t="shared" si="4"/>
        <v>0</v>
      </c>
      <c r="J206" s="86"/>
      <c r="K206" s="80"/>
      <c r="L206" s="185"/>
      <c r="M206" s="151"/>
    </row>
    <row r="207">
      <c r="A207" s="192" t="s">
        <v>560</v>
      </c>
      <c r="B207" s="212" t="str">
        <f>HYPERLINK("http://codeforces.com/contest/416/problem/B","CF416-D2-B")</f>
        <v>CF416-D2-B</v>
      </c>
      <c r="C207" s="185"/>
      <c r="D207" s="185"/>
      <c r="E207" s="185"/>
      <c r="F207" s="185"/>
      <c r="G207" s="185"/>
      <c r="H207" s="186"/>
      <c r="I207" s="81">
        <f t="shared" si="4"/>
        <v>0</v>
      </c>
      <c r="J207" s="86"/>
      <c r="K207" s="80"/>
      <c r="L207" s="185"/>
      <c r="M207" s="151"/>
    </row>
    <row r="208">
      <c r="A208" s="87"/>
      <c r="C208" s="185"/>
      <c r="D208" s="185"/>
      <c r="E208" s="185"/>
      <c r="F208" s="185"/>
      <c r="G208" s="185"/>
      <c r="H208" s="186"/>
      <c r="I208" s="81">
        <f t="shared" si="4"/>
        <v>0</v>
      </c>
      <c r="J208" s="86"/>
      <c r="K208" s="80"/>
      <c r="L208" s="185"/>
      <c r="M208" s="151"/>
    </row>
    <row r="209">
      <c r="A209" s="192" t="s">
        <v>561</v>
      </c>
      <c r="B209" s="212" t="str">
        <f>HYPERLINK("http://codeforces.com/contest/489/problem/B","CF489-D2-B")</f>
        <v>CF489-D2-B</v>
      </c>
      <c r="C209" s="185"/>
      <c r="D209" s="185"/>
      <c r="E209" s="185"/>
      <c r="F209" s="185"/>
      <c r="G209" s="185"/>
      <c r="H209" s="186"/>
      <c r="I209" s="81">
        <f t="shared" si="4"/>
        <v>0</v>
      </c>
      <c r="J209" s="86"/>
      <c r="K209" s="80"/>
      <c r="L209" s="185"/>
      <c r="M209" s="151"/>
    </row>
    <row r="210">
      <c r="A210" s="192" t="s">
        <v>562</v>
      </c>
      <c r="B210" s="212" t="str">
        <f>HYPERLINK("http://codeforces.com/contest/478/problem/B","CF478-D2-B")</f>
        <v>CF478-D2-B</v>
      </c>
      <c r="C210" s="185"/>
      <c r="D210" s="185"/>
      <c r="E210" s="185"/>
      <c r="F210" s="185"/>
      <c r="G210" s="185"/>
      <c r="H210" s="186"/>
      <c r="I210" s="81">
        <f t="shared" si="4"/>
        <v>0</v>
      </c>
      <c r="J210" s="86"/>
      <c r="K210" s="80"/>
      <c r="L210" s="185"/>
      <c r="M210" s="151"/>
    </row>
    <row r="211">
      <c r="A211" s="192" t="s">
        <v>563</v>
      </c>
      <c r="B211" s="212" t="str">
        <f>HYPERLINK("http://codeforces.com/contest/94/problem/B","CF94-D2-B")</f>
        <v>CF94-D2-B</v>
      </c>
      <c r="C211" s="185"/>
      <c r="D211" s="185"/>
      <c r="E211" s="185"/>
      <c r="F211" s="185"/>
      <c r="G211" s="185"/>
      <c r="H211" s="186"/>
      <c r="I211" s="81">
        <f t="shared" si="4"/>
        <v>0</v>
      </c>
      <c r="J211" s="86"/>
      <c r="K211" s="80"/>
      <c r="L211" s="185"/>
      <c r="M211" s="151"/>
    </row>
    <row r="212">
      <c r="A212" s="192" t="s">
        <v>564</v>
      </c>
      <c r="B212" s="212" t="str">
        <f>HYPERLINK("http://codeforces.com/contest/625/problem/B","CF625-D2-B")</f>
        <v>CF625-D2-B</v>
      </c>
      <c r="C212" s="185"/>
      <c r="D212" s="185"/>
      <c r="E212" s="185"/>
      <c r="F212" s="185"/>
      <c r="G212" s="185"/>
      <c r="H212" s="186"/>
      <c r="I212" s="81">
        <f t="shared" si="4"/>
        <v>0</v>
      </c>
      <c r="J212" s="86"/>
      <c r="K212" s="80"/>
      <c r="L212" s="185"/>
      <c r="M212" s="151"/>
    </row>
    <row r="213">
      <c r="A213" s="192" t="s">
        <v>565</v>
      </c>
      <c r="B213" s="212" t="str">
        <f>HYPERLINK("http://codeforces.com/contest/330/problem/B","CF330-D2-B")</f>
        <v>CF330-D2-B</v>
      </c>
      <c r="C213" s="185"/>
      <c r="D213" s="185"/>
      <c r="E213" s="185"/>
      <c r="F213" s="185"/>
      <c r="G213" s="185"/>
      <c r="H213" s="186"/>
      <c r="I213" s="81">
        <f t="shared" si="4"/>
        <v>0</v>
      </c>
      <c r="J213" s="86"/>
      <c r="K213" s="80"/>
      <c r="L213" s="185"/>
      <c r="M213" s="151"/>
    </row>
    <row r="214">
      <c r="A214" s="192" t="s">
        <v>566</v>
      </c>
      <c r="B214" s="212" t="str">
        <f>HYPERLINK("http://codeforces.com/contest/92/problem/B","CF92-D2-B")</f>
        <v>CF92-D2-B</v>
      </c>
      <c r="C214" s="185"/>
      <c r="D214" s="185"/>
      <c r="E214" s="185"/>
      <c r="F214" s="185"/>
      <c r="G214" s="185"/>
      <c r="H214" s="186"/>
      <c r="I214" s="81">
        <f t="shared" si="4"/>
        <v>0</v>
      </c>
      <c r="J214" s="86"/>
      <c r="K214" s="80"/>
      <c r="L214" s="185"/>
      <c r="M214" s="151"/>
    </row>
    <row r="215">
      <c r="A215" s="192" t="s">
        <v>567</v>
      </c>
      <c r="B215" s="212" t="str">
        <f>HYPERLINK("http://codeforces.com/contest/4/problem/B","CF4-D2-B")</f>
        <v>CF4-D2-B</v>
      </c>
      <c r="C215" s="185"/>
      <c r="D215" s="185"/>
      <c r="E215" s="185"/>
      <c r="F215" s="185"/>
      <c r="G215" s="185"/>
      <c r="H215" s="186"/>
      <c r="I215" s="81">
        <f t="shared" si="4"/>
        <v>0</v>
      </c>
      <c r="J215" s="86"/>
      <c r="K215" s="80"/>
      <c r="L215" s="185"/>
      <c r="M215" s="151"/>
    </row>
    <row r="216">
      <c r="A216" s="192" t="s">
        <v>568</v>
      </c>
      <c r="B216" s="212" t="str">
        <f>HYPERLINK("http://codeforces.com/contest/9/problem/B","CF9-D2-B")</f>
        <v>CF9-D2-B</v>
      </c>
      <c r="C216" s="185"/>
      <c r="D216" s="185"/>
      <c r="E216" s="185"/>
      <c r="F216" s="185"/>
      <c r="G216" s="185"/>
      <c r="H216" s="186"/>
      <c r="I216" s="81">
        <f t="shared" si="4"/>
        <v>0</v>
      </c>
      <c r="J216" s="86"/>
      <c r="K216" s="80"/>
      <c r="L216" s="185"/>
      <c r="M216" s="151"/>
    </row>
    <row r="217">
      <c r="A217" s="192" t="s">
        <v>569</v>
      </c>
      <c r="B217" s="212" t="str">
        <f>HYPERLINK("http://codeforces.com/contest/508/problem/B","CF508-D2-B")</f>
        <v>CF508-D2-B</v>
      </c>
      <c r="C217" s="185"/>
      <c r="D217" s="185"/>
      <c r="E217" s="185"/>
      <c r="F217" s="185"/>
      <c r="G217" s="185"/>
      <c r="H217" s="186"/>
      <c r="I217" s="81">
        <f t="shared" si="4"/>
        <v>0</v>
      </c>
      <c r="J217" s="86"/>
      <c r="K217" s="80"/>
      <c r="L217" s="185"/>
      <c r="M217" s="151"/>
    </row>
    <row r="218">
      <c r="A218" s="192" t="s">
        <v>570</v>
      </c>
      <c r="B218" s="212" t="str">
        <f>HYPERLINK("http://codeforces.com/contest/151/problem/B","CF151-D2-B")</f>
        <v>CF151-D2-B</v>
      </c>
      <c r="C218" s="185"/>
      <c r="D218" s="185"/>
      <c r="E218" s="185"/>
      <c r="F218" s="185"/>
      <c r="G218" s="185"/>
      <c r="H218" s="186"/>
      <c r="I218" s="81">
        <f t="shared" si="4"/>
        <v>0</v>
      </c>
      <c r="J218" s="86"/>
      <c r="K218" s="80"/>
      <c r="L218" s="185"/>
      <c r="M218" s="151"/>
    </row>
  </sheetData>
  <mergeCells count="2">
    <mergeCell ref="D135:G135"/>
    <mergeCell ref="J135:M135"/>
  </mergeCells>
  <conditionalFormatting sqref="K3:K133 K137:K218">
    <cfRule type="cellIs" dxfId="5" priority="1" operator="equal">
      <formula>"No"</formula>
    </cfRule>
  </conditionalFormatting>
  <conditionalFormatting sqref="K3:K133 K137:K218">
    <cfRule type="cellIs" dxfId="5" priority="2" operator="equal">
      <formula>"no"</formula>
    </cfRule>
  </conditionalFormatting>
  <conditionalFormatting sqref="K3:K133 K137:K218">
    <cfRule type="cellIs" dxfId="5" priority="3" operator="equal">
      <formula>"NO"</formula>
    </cfRule>
  </conditionalFormatting>
  <conditionalFormatting sqref="C3:C218 D133 C240:C291">
    <cfRule type="cellIs" dxfId="0" priority="4" operator="equal">
      <formula>"AC"</formula>
    </cfRule>
  </conditionalFormatting>
  <conditionalFormatting sqref="C3:C133 D133 C137:C218">
    <cfRule type="containsText" dxfId="1" priority="5" operator="containsText" text="WA">
      <formula>NOT(ISERROR(SEARCH(("WA"),(C3))))</formula>
    </cfRule>
  </conditionalFormatting>
  <conditionalFormatting sqref="C13:C218 D133 C240:C291">
    <cfRule type="containsText" dxfId="1" priority="6" operator="containsText" text="WA">
      <formula>NOT(ISERROR(SEARCH(("WA"),(C13))))</formula>
    </cfRule>
  </conditionalFormatting>
  <conditionalFormatting sqref="C3:C133 D133 C137:C218">
    <cfRule type="containsText" dxfId="2" priority="7" operator="containsText" text="TLE">
      <formula>NOT(ISERROR(SEARCH(("TLE"),(C3))))</formula>
    </cfRule>
  </conditionalFormatting>
  <conditionalFormatting sqref="C13:C218 D133 C240:C291">
    <cfRule type="containsText" dxfId="2" priority="8" operator="containsText" text="TLE">
      <formula>NOT(ISERROR(SEARCH(("TLE"),(C13))))</formula>
    </cfRule>
  </conditionalFormatting>
  <conditionalFormatting sqref="C3:C133 D133 C137:C218">
    <cfRule type="containsText" dxfId="3" priority="9" operator="containsText" text="RTE">
      <formula>NOT(ISERROR(SEARCH(("RTE"),(C3))))</formula>
    </cfRule>
  </conditionalFormatting>
  <conditionalFormatting sqref="C13:C218 D133 C240:C291">
    <cfRule type="containsText" dxfId="3" priority="10" operator="containsText" text="RTE">
      <formula>NOT(ISERROR(SEARCH(("RTE"),(C13))))</formula>
    </cfRule>
  </conditionalFormatting>
  <conditionalFormatting sqref="C3:C133 D133 C137:C218">
    <cfRule type="containsText" dxfId="4" priority="11" operator="containsText" text="CS">
      <formula>NOT(ISERROR(SEARCH(("CS"),(C3))))</formula>
    </cfRule>
  </conditionalFormatting>
  <conditionalFormatting sqref="C13:C218 D133 C240:C291">
    <cfRule type="containsText" dxfId="4"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18"/>
    <hyperlink r:id="rId10" ref="B133"/>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29"/>
    <col customWidth="1" min="3" max="3" width="6.86"/>
    <col customWidth="1" min="4" max="4" width="7.86"/>
    <col customWidth="1" min="5" max="5" width="8.43"/>
    <col customWidth="1" min="6" max="6" width="8.71"/>
    <col customWidth="1" min="7" max="7" width="10.0"/>
    <col customWidth="1" min="8" max="9" width="8.57"/>
    <col customWidth="1" min="10" max="12" width="10.0"/>
    <col customWidth="1" min="13" max="13" width="78.0"/>
  </cols>
  <sheetData>
    <row r="1">
      <c r="A1" s="182" t="s">
        <v>143</v>
      </c>
      <c r="B1" s="233" t="s">
        <v>144</v>
      </c>
      <c r="C1" s="68" t="s">
        <v>145</v>
      </c>
      <c r="D1" s="69" t="s">
        <v>146</v>
      </c>
      <c r="E1" s="69" t="s">
        <v>147</v>
      </c>
      <c r="F1" s="68" t="s">
        <v>148</v>
      </c>
      <c r="G1" s="69" t="s">
        <v>149</v>
      </c>
      <c r="H1" s="69" t="s">
        <v>150</v>
      </c>
      <c r="I1" s="69" t="s">
        <v>151</v>
      </c>
      <c r="J1" s="68" t="s">
        <v>152</v>
      </c>
      <c r="K1" s="68" t="s">
        <v>153</v>
      </c>
      <c r="L1" s="68" t="s">
        <v>154</v>
      </c>
      <c r="M1" s="70" t="s">
        <v>155</v>
      </c>
    </row>
    <row r="2">
      <c r="A2" s="183"/>
      <c r="B2" s="234" t="s">
        <v>156</v>
      </c>
      <c r="C2" s="73">
        <f>countif(C5:C10496, "AC")</f>
        <v>0</v>
      </c>
      <c r="D2" s="74">
        <f>ROUND(SUMPRODUCT(D5:D10496,INT(EQ(C5:C10496, "AC")))/MAX(1, C2),1)</f>
        <v>0</v>
      </c>
      <c r="E2" s="74">
        <f>ROUND(SUMPRODUCT(E5:E10518,INT(EQ(C5:C10518, "AC")))/MAX(1, C2),0)</f>
        <v>0</v>
      </c>
      <c r="F2" s="74">
        <f>ROUND(SUMPRODUCT(F5:F10521,INT(EQ(C5:C10521, "AC")))/MAX(1, C2),0)</f>
        <v>0</v>
      </c>
      <c r="G2" s="74">
        <f>ROUND(SUMPRODUCT(G5:G10521,INT(EQ(C5:C10521, "AC")))/MAX(1, C2),0)</f>
        <v>0</v>
      </c>
      <c r="H2" s="74">
        <f>ROUND(SUMPRODUCT(H5:H10521,INT(EQ(C5:C10521, "AC")))/MAX(1, C2),0)</f>
        <v>0</v>
      </c>
      <c r="I2" s="74">
        <f>ROUND(SUMPRODUCT(I5:I10493,INT(EQ(C5:C10493, "AC")))/MAX(1, C2),0)</f>
        <v>0</v>
      </c>
      <c r="J2" s="74">
        <f>ROUND(SUMPRODUCT(J5:J10491,INT(EQ(C5:C10491, "AC")))/MAX(1, C2),1)</f>
        <v>0</v>
      </c>
      <c r="K2" s="74">
        <f>SUMPRODUCT(EQ(K5:K10496, "YES"),INT(EQ(C5:C10521, "AC")))</f>
        <v>0</v>
      </c>
      <c r="L2" s="75">
        <f>IFERROR(__xludf.DUMMYFUNCTION("COUNTA(FILTER(C5:C9988, NOT(REGEXMATCH(C5:C9988, ""AC""))))"),0.0)</f>
        <v>0</v>
      </c>
      <c r="M2" s="76">
        <f>IFERROR(__xludf.DUMMYFUNCTION("COUNTA(FILTER(C5:C9982, NOT(REGEXMATCH(C5:C9982, ""AC""))))"),0.0)</f>
        <v>0</v>
      </c>
    </row>
    <row r="3">
      <c r="A3" s="192"/>
      <c r="B3" s="235"/>
      <c r="C3" s="185"/>
      <c r="D3" s="185"/>
      <c r="E3" s="185"/>
      <c r="F3" s="185"/>
      <c r="G3" s="185"/>
      <c r="H3" s="186"/>
      <c r="I3" s="81"/>
      <c r="J3" s="86"/>
      <c r="K3" s="80"/>
      <c r="L3" s="185"/>
      <c r="M3" s="141" t="s">
        <v>571</v>
      </c>
    </row>
    <row r="4">
      <c r="A4" s="192"/>
      <c r="B4" s="235"/>
      <c r="C4" s="185"/>
      <c r="D4" s="185"/>
      <c r="E4" s="185"/>
      <c r="F4" s="185"/>
      <c r="G4" s="185"/>
      <c r="H4" s="186"/>
      <c r="I4" s="81"/>
      <c r="J4" s="86"/>
      <c r="K4" s="80"/>
      <c r="L4" s="185"/>
      <c r="M4" s="236" t="s">
        <v>572</v>
      </c>
    </row>
    <row r="5">
      <c r="A5" s="192" t="s">
        <v>573</v>
      </c>
      <c r="B5" s="218" t="str">
        <f>HYPERLINK("http://codeforces.com/contest/515/problem/C","CF515-D2-C")</f>
        <v>CF515-D2-C</v>
      </c>
      <c r="C5" s="185"/>
      <c r="D5" s="185"/>
      <c r="E5" s="185"/>
      <c r="F5" s="185"/>
      <c r="G5" s="185"/>
      <c r="H5" s="186"/>
      <c r="I5" s="81">
        <f t="shared" ref="I5:I148" si="1">SUM(E5:H5)</f>
        <v>0</v>
      </c>
      <c r="J5" s="86"/>
      <c r="K5" s="80"/>
      <c r="L5" s="185"/>
      <c r="M5" s="106" t="str">
        <f>HYPERLINK("https://www.youtube.com/watch?v=QEh0ugyYPUw","Video Solution - Dr Mostafa Saad")</f>
        <v>Video Solution - Dr Mostafa Saad</v>
      </c>
    </row>
    <row r="6">
      <c r="A6" s="110" t="s">
        <v>574</v>
      </c>
      <c r="B6" s="152" t="str">
        <f>HYPERLINK("http://codeforces.com/contest/304/problem/C","CF304-D2-C")</f>
        <v>CF304-D2-C</v>
      </c>
      <c r="C6" s="185"/>
      <c r="D6" s="185"/>
      <c r="E6" s="185"/>
      <c r="F6" s="185"/>
      <c r="G6" s="185"/>
      <c r="H6" s="186"/>
      <c r="I6" s="81">
        <f t="shared" si="1"/>
        <v>0</v>
      </c>
      <c r="J6" s="117"/>
      <c r="K6" s="116"/>
      <c r="L6" s="50"/>
      <c r="M6" s="50"/>
    </row>
    <row r="7">
      <c r="A7" s="110" t="s">
        <v>575</v>
      </c>
      <c r="B7" s="152" t="str">
        <f>HYPERLINK("http://codeforces.com/contest/546/problem/C","CF546-D2-C")</f>
        <v>CF546-D2-C</v>
      </c>
      <c r="C7" s="185"/>
      <c r="D7" s="185"/>
      <c r="E7" s="185"/>
      <c r="F7" s="185"/>
      <c r="G7" s="185"/>
      <c r="H7" s="186"/>
      <c r="I7" s="81">
        <f t="shared" si="1"/>
        <v>0</v>
      </c>
      <c r="J7" s="117"/>
      <c r="K7" s="116"/>
      <c r="L7" s="50"/>
      <c r="M7" s="50"/>
    </row>
    <row r="8">
      <c r="A8" s="110" t="s">
        <v>576</v>
      </c>
      <c r="B8" s="152" t="str">
        <f>HYPERLINK("http://codeforces.com/contest/651/problem/C","CF651-D2-C")</f>
        <v>CF651-D2-C</v>
      </c>
      <c r="C8" s="185"/>
      <c r="D8" s="185"/>
      <c r="E8" s="185"/>
      <c r="F8" s="185"/>
      <c r="G8" s="185"/>
      <c r="H8" s="186"/>
      <c r="I8" s="81">
        <f t="shared" si="1"/>
        <v>0</v>
      </c>
      <c r="J8" s="117"/>
      <c r="K8" s="116"/>
      <c r="L8" s="50"/>
      <c r="M8" s="50"/>
    </row>
    <row r="9">
      <c r="A9" s="110"/>
      <c r="B9" s="152"/>
      <c r="C9" s="185"/>
      <c r="D9" s="185"/>
      <c r="E9" s="185"/>
      <c r="F9" s="185"/>
      <c r="G9" s="185"/>
      <c r="H9" s="186"/>
      <c r="I9" s="81">
        <f t="shared" si="1"/>
        <v>0</v>
      </c>
      <c r="J9" s="86"/>
      <c r="K9" s="80"/>
      <c r="L9" s="50"/>
      <c r="M9" s="128"/>
    </row>
    <row r="10">
      <c r="A10" s="87"/>
      <c r="B10" s="87"/>
      <c r="C10" s="185"/>
      <c r="D10" s="185"/>
      <c r="E10" s="185"/>
      <c r="F10" s="185"/>
      <c r="G10" s="185"/>
      <c r="H10" s="186"/>
      <c r="I10" s="81">
        <f t="shared" si="1"/>
        <v>0</v>
      </c>
      <c r="J10" s="86"/>
      <c r="K10" s="80"/>
      <c r="L10" s="185"/>
      <c r="M10" s="187" t="str">
        <f>HYPERLINK("https://www.youtube.com/watch?v=Tm_Vlkv4mOo","Watch - Thinking - Concretely - Symbolically - Pictorially ")</f>
        <v>Watch - Thinking - Concretely - Symbolically - Pictorially </v>
      </c>
    </row>
    <row r="11">
      <c r="A11" s="87"/>
      <c r="B11" s="87"/>
      <c r="C11" s="185"/>
      <c r="D11" s="185"/>
      <c r="E11" s="185"/>
      <c r="F11" s="185"/>
      <c r="G11" s="185"/>
      <c r="H11" s="186"/>
      <c r="I11" s="81">
        <f t="shared" si="1"/>
        <v>0</v>
      </c>
      <c r="J11" s="86"/>
      <c r="K11" s="80"/>
      <c r="L11" s="185"/>
      <c r="M11" s="191" t="str">
        <f>HYPERLINK("https://www.youtube.com/watch?v=6Fx8T_NBA7Q","Watch - Thinking - Problem Constraints ")</f>
        <v>Watch - Thinking - Problem Constraints </v>
      </c>
    </row>
    <row r="12">
      <c r="A12" s="87"/>
      <c r="B12" s="87"/>
      <c r="C12" s="185"/>
      <c r="D12" s="185"/>
      <c r="E12" s="185"/>
      <c r="F12" s="185"/>
      <c r="G12" s="185"/>
      <c r="H12" s="186"/>
      <c r="I12" s="81">
        <f t="shared" si="1"/>
        <v>0</v>
      </c>
      <c r="J12" s="86"/>
      <c r="K12" s="80"/>
      <c r="L12" s="185"/>
      <c r="M12" s="191" t="str">
        <f>HYPERLINK("https://www.youtube.com/watch?v=VZBfW08ECgA","Watch - Number Theory - Primes")</f>
        <v>Watch - Number Theory - Primes</v>
      </c>
    </row>
    <row r="13">
      <c r="A13" s="146" t="s">
        <v>577</v>
      </c>
      <c r="B13" s="210" t="str">
        <f>HYPERLINK("http://codeforces.com/contest/371/problem/B","CF371-D2-B")</f>
        <v>CF371-D2-B</v>
      </c>
      <c r="C13" s="185"/>
      <c r="D13" s="185"/>
      <c r="E13" s="185"/>
      <c r="F13" s="185"/>
      <c r="G13" s="185"/>
      <c r="H13" s="186"/>
      <c r="I13" s="81">
        <f t="shared" si="1"/>
        <v>0</v>
      </c>
      <c r="J13" s="86"/>
      <c r="K13" s="80"/>
      <c r="L13" s="50"/>
      <c r="M13" s="106" t="str">
        <f>HYPERLINK("https://www.youtube.com/watch?v=s9jsw8Uj4uI&amp;feature=youtu.be","Video Solution - Eng Abanob Ashraf")</f>
        <v>Video Solution - Eng Abanob Ashraf</v>
      </c>
    </row>
    <row r="14">
      <c r="A14" s="146" t="s">
        <v>578</v>
      </c>
      <c r="B14" s="210" t="str">
        <f>HYPERLINK("http://codeforces.com/contest/588/problem/B","CF588-D2-B")</f>
        <v>CF588-D2-B</v>
      </c>
      <c r="C14" s="185"/>
      <c r="D14" s="185"/>
      <c r="E14" s="185"/>
      <c r="F14" s="185"/>
      <c r="G14" s="185"/>
      <c r="H14" s="186"/>
      <c r="I14" s="81">
        <f t="shared" si="1"/>
        <v>0</v>
      </c>
      <c r="J14" s="86"/>
      <c r="K14" s="80"/>
      <c r="L14" s="50"/>
      <c r="M14" s="50"/>
    </row>
    <row r="15">
      <c r="A15" s="146" t="s">
        <v>579</v>
      </c>
      <c r="B15" s="210" t="str">
        <f>HYPERLINK("https://uva.onlinejudge.org/index.php?option=onlinejudge&amp;page=show_problem&amp;problem=1335","UVA 10394")</f>
        <v>UVA 10394</v>
      </c>
      <c r="C15" s="185"/>
      <c r="D15" s="185"/>
      <c r="E15" s="185"/>
      <c r="F15" s="185"/>
      <c r="G15" s="185"/>
      <c r="H15" s="186"/>
      <c r="I15" s="81">
        <f t="shared" si="1"/>
        <v>0</v>
      </c>
      <c r="J15" s="86"/>
      <c r="K15" s="80"/>
      <c r="L15" s="185"/>
      <c r="M15" s="237"/>
    </row>
    <row r="16">
      <c r="A16" s="146" t="s">
        <v>580</v>
      </c>
      <c r="B16" s="210" t="str">
        <f>HYPERLINK("https://uva.onlinejudge.org/index.php?option=onlinejudge&amp;page=show_problem&amp;problem=1109","UVA 10168")</f>
        <v>UVA 10168</v>
      </c>
      <c r="C16" s="185"/>
      <c r="D16" s="185"/>
      <c r="E16" s="185"/>
      <c r="F16" s="185"/>
      <c r="G16" s="185"/>
      <c r="H16" s="186"/>
      <c r="I16" s="81">
        <f t="shared" si="1"/>
        <v>0</v>
      </c>
      <c r="J16" s="86"/>
      <c r="K16" s="80"/>
      <c r="L16" s="185"/>
      <c r="M16" s="195" t="str">
        <f>HYPERLINK("https://www.youtube.com/watch?v=BztjeBZmzco&amp;feature=youtu.be","Video Solution - Eng Moaz Rashad")</f>
        <v>Video Solution - Eng Moaz Rashad</v>
      </c>
    </row>
    <row r="17">
      <c r="A17" s="196" t="s">
        <v>581</v>
      </c>
      <c r="B17" s="197" t="str">
        <f>HYPERLINK("https://uva.onlinejudge.org/index.php?option=onlinejudge&amp;page=show_problem&amp;problem=1266","UVA 10325")</f>
        <v>UVA 10325</v>
      </c>
      <c r="C17" s="185"/>
      <c r="D17" s="185"/>
      <c r="E17" s="185"/>
      <c r="F17" s="185"/>
      <c r="G17" s="185"/>
      <c r="H17" s="186"/>
      <c r="I17" s="81">
        <f t="shared" si="1"/>
        <v>0</v>
      </c>
      <c r="J17" s="86"/>
      <c r="K17" s="80"/>
      <c r="L17" s="185"/>
      <c r="M17" s="195" t="str">
        <f>HYPERLINK("https://www.youtube.com/watch?v=OA_J9bFxJpU","Video Solution - Eng Amr Bahaa")</f>
        <v>Video Solution - Eng Amr Bahaa</v>
      </c>
    </row>
    <row r="18">
      <c r="A18" s="196" t="s">
        <v>582</v>
      </c>
      <c r="B18" s="197" t="str">
        <f>HYPERLINK("http://codeforces.com/contest/371/problem/C","CF371-D2-C")</f>
        <v>CF371-D2-C</v>
      </c>
      <c r="C18" s="185"/>
      <c r="D18" s="185"/>
      <c r="E18" s="185"/>
      <c r="F18" s="185"/>
      <c r="G18" s="185"/>
      <c r="H18" s="186"/>
      <c r="I18" s="81">
        <f t="shared" si="1"/>
        <v>0</v>
      </c>
      <c r="J18" s="86"/>
      <c r="K18" s="80"/>
      <c r="L18" s="185"/>
      <c r="M18" s="151"/>
    </row>
    <row r="19">
      <c r="A19" s="196" t="s">
        <v>583</v>
      </c>
      <c r="B19" s="197" t="str">
        <f>HYPERLINK("https://uva.onlinejudge.org/index.php?option=onlinejudge&amp;page=show_problem&amp;problem=1658","UVA 10717")</f>
        <v>UVA 10717</v>
      </c>
      <c r="C19" s="185"/>
      <c r="D19" s="185"/>
      <c r="E19" s="185"/>
      <c r="F19" s="185"/>
      <c r="G19" s="185"/>
      <c r="H19" s="186"/>
      <c r="I19" s="81">
        <f t="shared" si="1"/>
        <v>0</v>
      </c>
      <c r="J19" s="86"/>
      <c r="K19" s="80"/>
      <c r="L19" s="185"/>
      <c r="M19" s="238" t="str">
        <f>HYPERLINK("https://github.com/magdy-hasan/competitive-programming/blob/master/uva-/uva%2010717%20-%20Mint.cpp","Sol")</f>
        <v>Sol</v>
      </c>
    </row>
    <row r="20">
      <c r="A20" s="239" t="s">
        <v>584</v>
      </c>
      <c r="B20" s="240" t="str">
        <f>HYPERLINK("http://www.spoj.com/problems/BITMAP/","SPOJ BITMAP")</f>
        <v>SPOJ BITMAP</v>
      </c>
      <c r="C20" s="185"/>
      <c r="D20" s="185"/>
      <c r="E20" s="185"/>
      <c r="F20" s="185"/>
      <c r="G20" s="185"/>
      <c r="H20" s="186"/>
      <c r="I20" s="81">
        <f t="shared" si="1"/>
        <v>0</v>
      </c>
      <c r="J20" s="117"/>
      <c r="K20" s="116"/>
      <c r="L20" s="50"/>
      <c r="M20" s="238" t="str">
        <f>HYPERLINK("https://github.com/omarkhair/Problems-Editorial/blob/master/SPOJ/Bitmap/Editorial.md","Editorial")</f>
        <v>Editorial</v>
      </c>
    </row>
    <row r="21">
      <c r="A21" s="239"/>
      <c r="B21" s="197" t="str">
        <f>HYPERLINK("https://www.codechef.com/problems/GCDMOD", "CODECHEF GCDMOD")</f>
        <v>CODECHEF GCDMOD</v>
      </c>
      <c r="C21" s="185"/>
      <c r="D21" s="185"/>
      <c r="E21" s="185"/>
      <c r="F21" s="185"/>
      <c r="G21" s="185"/>
      <c r="H21" s="186"/>
      <c r="I21" s="81">
        <f t="shared" si="1"/>
        <v>0</v>
      </c>
      <c r="J21" s="117"/>
      <c r="K21" s="116"/>
      <c r="L21" s="50"/>
      <c r="M21" s="218" t="str">
        <f>HYPERLINK("https://github.com/tmwilliamlin168/CompetitiveProgramming/blob/master/CodeChef/GCDMOD.cpp","Sol uses __int128 to avoid overflow")</f>
        <v>Sol uses __int128 to avoid overflow</v>
      </c>
    </row>
    <row r="22">
      <c r="A22" s="239"/>
      <c r="B22" s="241" t="s">
        <v>585</v>
      </c>
      <c r="C22" s="185"/>
      <c r="D22" s="185"/>
      <c r="E22" s="185"/>
      <c r="F22" s="185"/>
      <c r="G22" s="185"/>
      <c r="H22" s="186"/>
      <c r="I22" s="81">
        <f t="shared" si="1"/>
        <v>0</v>
      </c>
      <c r="J22" s="117"/>
      <c r="K22" s="116"/>
      <c r="L22" s="50"/>
      <c r="M22" s="238" t="str">
        <f>HYPERLINK("https://www.geeksforgeeks.org/total-number-spanning-trees-graph/","Theory result to read")</f>
        <v>Theory result to read</v>
      </c>
    </row>
    <row r="23">
      <c r="A23" s="242" t="s">
        <v>586</v>
      </c>
      <c r="B23" s="49" t="str">
        <f>HYPERLINK("http://codeforces.com/contest/437/problem/B","CF437-D2-B")</f>
        <v>CF437-D2-B</v>
      </c>
      <c r="C23" s="185"/>
      <c r="D23" s="185"/>
      <c r="E23" s="185"/>
      <c r="F23" s="185"/>
      <c r="G23" s="185"/>
      <c r="H23" s="186"/>
      <c r="I23" s="81">
        <f t="shared" si="1"/>
        <v>0</v>
      </c>
      <c r="J23" s="117"/>
      <c r="K23" s="116"/>
      <c r="L23" s="50"/>
      <c r="M23" s="50"/>
    </row>
    <row r="24">
      <c r="A24" s="242" t="s">
        <v>587</v>
      </c>
      <c r="B24" s="49" t="str">
        <f>HYPERLINK("http://codeforces.com/contest/518/problem/B","CF518-D2-B")</f>
        <v>CF518-D2-B</v>
      </c>
      <c r="C24" s="185"/>
      <c r="D24" s="185"/>
      <c r="E24" s="185"/>
      <c r="F24" s="185"/>
      <c r="G24" s="185"/>
      <c r="H24" s="186"/>
      <c r="I24" s="81">
        <f t="shared" si="1"/>
        <v>0</v>
      </c>
      <c r="J24" s="117"/>
      <c r="K24" s="116"/>
      <c r="L24" s="50"/>
      <c r="M24" s="50"/>
    </row>
    <row r="25">
      <c r="A25" s="87"/>
      <c r="B25" s="87"/>
      <c r="C25" s="185"/>
      <c r="D25" s="185"/>
      <c r="E25" s="185"/>
      <c r="F25" s="185"/>
      <c r="G25" s="185"/>
      <c r="H25" s="186"/>
      <c r="I25" s="81">
        <f t="shared" si="1"/>
        <v>0</v>
      </c>
      <c r="J25" s="86"/>
      <c r="K25" s="80"/>
      <c r="L25" s="185"/>
      <c r="M25" s="151"/>
    </row>
    <row r="26">
      <c r="A26" s="110" t="s">
        <v>588</v>
      </c>
      <c r="B26" s="152" t="str">
        <f>HYPERLINK("http://codeforces.com/contest/296/problem/C","CF296-D2-C")</f>
        <v>CF296-D2-C</v>
      </c>
      <c r="C26" s="50"/>
      <c r="D26" s="50"/>
      <c r="E26" s="50"/>
      <c r="F26" s="50"/>
      <c r="G26" s="50"/>
      <c r="H26" s="50"/>
      <c r="I26" s="127">
        <f t="shared" si="1"/>
        <v>0</v>
      </c>
      <c r="J26" s="117"/>
      <c r="K26" s="116"/>
      <c r="L26" s="50"/>
      <c r="M26" s="47"/>
    </row>
    <row r="27">
      <c r="A27" s="110" t="s">
        <v>589</v>
      </c>
      <c r="B27" s="152" t="str">
        <f>HYPERLINK("http://codeforces.com/contest/131/problem/C","CF131-D2-C")</f>
        <v>CF131-D2-C</v>
      </c>
      <c r="C27" s="185"/>
      <c r="D27" s="185"/>
      <c r="E27" s="185"/>
      <c r="F27" s="185"/>
      <c r="G27" s="185"/>
      <c r="H27" s="186"/>
      <c r="I27" s="81">
        <f t="shared" si="1"/>
        <v>0</v>
      </c>
      <c r="J27" s="117"/>
      <c r="K27" s="116"/>
      <c r="L27" s="50"/>
      <c r="M27" s="213" t="str">
        <f>HYPERLINK("https://www.youtube.com/watch?v=96OYl0On3hc","Video Solution - Eng Youssef Ali")</f>
        <v>Video Solution - Eng Youssef Ali</v>
      </c>
    </row>
    <row r="28">
      <c r="A28" s="110" t="s">
        <v>590</v>
      </c>
      <c r="B28" s="152" t="str">
        <f>HYPERLINK("http://codeforces.com/contest/88/problem/C","CF88-D2-C")</f>
        <v>CF88-D2-C</v>
      </c>
      <c r="C28" s="185"/>
      <c r="D28" s="185"/>
      <c r="E28" s="185"/>
      <c r="F28" s="185"/>
      <c r="G28" s="185"/>
      <c r="H28" s="186"/>
      <c r="I28" s="81">
        <f t="shared" si="1"/>
        <v>0</v>
      </c>
      <c r="J28" s="117"/>
      <c r="K28" s="116"/>
      <c r="L28" s="50"/>
      <c r="M28" s="128" t="str">
        <f>HYPERLINK("https://www.youtube.com/watch?v=YiM38hyILmc","Video Solution - Solver to be (Java)")</f>
        <v>Video Solution - Solver to be (Java)</v>
      </c>
    </row>
    <row r="29">
      <c r="A29" s="242" t="s">
        <v>591</v>
      </c>
      <c r="B29" s="49" t="str">
        <f>HYPERLINK("http://codeforces.com/contest/378/problem/B","CF378-D2-B")</f>
        <v>CF378-D2-B</v>
      </c>
      <c r="C29" s="185"/>
      <c r="D29" s="185"/>
      <c r="E29" s="185"/>
      <c r="F29" s="185"/>
      <c r="G29" s="185"/>
      <c r="H29" s="186"/>
      <c r="I29" s="81">
        <f t="shared" si="1"/>
        <v>0</v>
      </c>
      <c r="J29" s="117"/>
      <c r="K29" s="116"/>
      <c r="L29" s="50"/>
      <c r="M29" s="128"/>
    </row>
    <row r="30">
      <c r="A30" s="242" t="s">
        <v>592</v>
      </c>
      <c r="B30" s="49" t="str">
        <f>HYPERLINK("http://codeforces.com/contest/479/problem/B","CF479-D2-B")</f>
        <v>CF479-D2-B</v>
      </c>
      <c r="C30" s="185"/>
      <c r="D30" s="185"/>
      <c r="E30" s="185"/>
      <c r="F30" s="185"/>
      <c r="G30" s="185"/>
      <c r="H30" s="186"/>
      <c r="I30" s="81">
        <f t="shared" si="1"/>
        <v>0</v>
      </c>
      <c r="J30" s="117"/>
      <c r="K30" s="116"/>
      <c r="L30" s="50"/>
      <c r="M30" s="128"/>
    </row>
    <row r="31">
      <c r="A31" s="87"/>
      <c r="B31" s="87"/>
      <c r="C31" s="185"/>
      <c r="D31" s="185"/>
      <c r="E31" s="185"/>
      <c r="F31" s="185"/>
      <c r="G31" s="185"/>
      <c r="H31" s="186"/>
      <c r="I31" s="81">
        <f t="shared" si="1"/>
        <v>0</v>
      </c>
      <c r="J31" s="86"/>
      <c r="K31" s="80"/>
      <c r="L31" s="185"/>
      <c r="M31" s="191" t="str">
        <f>HYPERLINK("https://www.youtube.com/watch?v=jxvaNAthWRI","Watch - Algebra - Number Bases and Polynomials")</f>
        <v>Watch - Algebra - Number Bases and Polynomials</v>
      </c>
    </row>
    <row r="32">
      <c r="A32" s="158" t="s">
        <v>593</v>
      </c>
      <c r="B32" s="243" t="str">
        <f>HYPERLINK("https://uva.onlinejudge.org/index.php?option=onlinejudge&amp;page=show_problem&amp;problem=1410","UVA 10469")</f>
        <v>UVA 10469</v>
      </c>
      <c r="C32" s="185"/>
      <c r="D32" s="185"/>
      <c r="E32" s="185"/>
      <c r="F32" s="185"/>
      <c r="G32" s="185"/>
      <c r="H32" s="186"/>
      <c r="I32" s="81">
        <f t="shared" si="1"/>
        <v>0</v>
      </c>
      <c r="J32" s="86"/>
      <c r="K32" s="80"/>
      <c r="L32" s="86"/>
      <c r="M32" s="238" t="str">
        <f>HYPERLINK("https://github.com/Diusrex/UVA-Solutions/blob/master/10469%20To%20Carry%20or%20not%20to%20Carry.cpp","Sol")</f>
        <v>Sol</v>
      </c>
    </row>
    <row r="33">
      <c r="A33" s="146" t="s">
        <v>594</v>
      </c>
      <c r="B33" s="210" t="str">
        <f>HYPERLINK("https://uva.onlinejudge.org/index.php?option=onlinejudge&amp;page=show_problem&amp;problem=1753","UVA 10812")</f>
        <v>UVA 10812</v>
      </c>
      <c r="C33" s="185"/>
      <c r="D33" s="185"/>
      <c r="E33" s="185"/>
      <c r="F33" s="185"/>
      <c r="G33" s="185"/>
      <c r="H33" s="186"/>
      <c r="I33" s="81">
        <f t="shared" si="1"/>
        <v>0</v>
      </c>
      <c r="J33" s="86"/>
      <c r="K33" s="80"/>
      <c r="L33" s="185"/>
      <c r="M33" s="87"/>
    </row>
    <row r="34">
      <c r="A34" s="146" t="s">
        <v>595</v>
      </c>
      <c r="B34" s="210" t="str">
        <f>HYPERLINK("https://uva.onlinejudge.org/index.php?option=onlinejudge&amp;page=show_problem&amp;problem=1243","UVA 10302")</f>
        <v>UVA 10302</v>
      </c>
      <c r="C34" s="185"/>
      <c r="D34" s="185"/>
      <c r="E34" s="185"/>
      <c r="F34" s="185"/>
      <c r="G34" s="185"/>
      <c r="H34" s="186"/>
      <c r="I34" s="81">
        <f t="shared" si="1"/>
        <v>0</v>
      </c>
      <c r="J34" s="86"/>
      <c r="K34" s="80"/>
      <c r="L34" s="185"/>
      <c r="M34" s="87"/>
    </row>
    <row r="35">
      <c r="A35" s="146" t="s">
        <v>596</v>
      </c>
      <c r="B35" s="244" t="str">
        <f>HYPERLINK("https://uva.onlinejudge.org/index.php?option=com_onlinejudge&amp;Itemid=8&amp;page=show_problem&amp;problem=439","UVA 498")</f>
        <v>UVA 498</v>
      </c>
      <c r="C35" s="185"/>
      <c r="D35" s="185"/>
      <c r="E35" s="185"/>
      <c r="F35" s="185"/>
      <c r="G35" s="185"/>
      <c r="H35" s="186"/>
      <c r="I35" s="81">
        <f t="shared" si="1"/>
        <v>0</v>
      </c>
      <c r="J35" s="86"/>
      <c r="K35" s="80"/>
      <c r="L35" s="185"/>
      <c r="M35" s="110"/>
    </row>
    <row r="36">
      <c r="A36" s="240"/>
      <c r="B36" s="245" t="str">
        <f>HYPERLINK("https://uva.onlinejudge.org/index.php?option=onlinejudge&amp;page=show_problem&amp;problem=1994","UVA 11053")</f>
        <v>UVA 11053</v>
      </c>
      <c r="C36" s="185"/>
      <c r="D36" s="185"/>
      <c r="E36" s="185"/>
      <c r="F36" s="185"/>
      <c r="G36" s="185"/>
      <c r="H36" s="186"/>
      <c r="I36" s="81">
        <f t="shared" si="1"/>
        <v>0</v>
      </c>
      <c r="J36" s="86"/>
      <c r="K36" s="80"/>
      <c r="L36" s="185"/>
      <c r="M36" s="238" t="str">
        <f>HYPERLINK("https://en.wikipedia.org/wiki/Cycle_detection#Floyd.27s_Tortoise_and_Hare","Find O(n) Solution")</f>
        <v>Find O(n) Solution</v>
      </c>
    </row>
    <row r="37">
      <c r="A37" s="240"/>
      <c r="B37" s="245" t="str">
        <f>HYPERLINK("https://icpcarchive.ecs.baylor.edu/index.php?option=com_onlinejudge&amp;Itemid=8&amp;page=show_problem&amp;problem=6100","LiveArchive 8078")</f>
        <v>LiveArchive 8078</v>
      </c>
      <c r="C37" s="185"/>
      <c r="D37" s="185"/>
      <c r="E37" s="185"/>
      <c r="F37" s="185"/>
      <c r="G37" s="185"/>
      <c r="H37" s="186"/>
      <c r="I37" s="81">
        <f t="shared" si="1"/>
        <v>0</v>
      </c>
      <c r="J37" s="86"/>
      <c r="K37" s="80"/>
      <c r="L37" s="185"/>
      <c r="M37" s="238" t="str">
        <f>HYPERLINK("https://github.com/goswami-rahul/competitive-coding/blob/master/CompetitiveProgramming/livearchive/8078.cpp","Sol")</f>
        <v>Sol</v>
      </c>
    </row>
    <row r="38">
      <c r="A38" s="189"/>
      <c r="B38" s="189"/>
      <c r="C38" s="185"/>
      <c r="D38" s="185"/>
      <c r="E38" s="185"/>
      <c r="F38" s="185"/>
      <c r="G38" s="185"/>
      <c r="H38" s="186"/>
      <c r="I38" s="81">
        <f t="shared" si="1"/>
        <v>0</v>
      </c>
      <c r="J38" s="86"/>
      <c r="K38" s="80"/>
      <c r="L38" s="185"/>
      <c r="M38" s="191" t="str">
        <f>HYPERLINK("https://www.youtube.com/watch?v=O2SPaQXYHFc","Watch - Algebra - Patterns in Sequences")</f>
        <v>Watch - Algebra - Patterns in Sequences</v>
      </c>
    </row>
    <row r="39">
      <c r="A39" s="146" t="s">
        <v>597</v>
      </c>
      <c r="B39" s="210" t="str">
        <f>HYPERLINK("https://uva.onlinejudge.org/index.php?option=onlinejudge&amp;page=show_problem&amp;problem=1450","UVA 10509")</f>
        <v>UVA 10509</v>
      </c>
      <c r="C39" s="185"/>
      <c r="D39" s="185"/>
      <c r="E39" s="185"/>
      <c r="F39" s="185"/>
      <c r="G39" s="185"/>
      <c r="H39" s="186"/>
      <c r="I39" s="81">
        <f t="shared" si="1"/>
        <v>0</v>
      </c>
      <c r="J39" s="86"/>
      <c r="K39" s="80"/>
      <c r="L39" s="185"/>
      <c r="M39" s="246"/>
    </row>
    <row r="40">
      <c r="A40" s="239" t="s">
        <v>598</v>
      </c>
      <c r="B40" s="240" t="str">
        <f>HYPERLINK("http://www.spoj.com/problems/QUEEN/","SPOJ QUEEN")</f>
        <v>SPOJ QUEEN</v>
      </c>
      <c r="C40" s="185"/>
      <c r="D40" s="185"/>
      <c r="E40" s="185"/>
      <c r="F40" s="185"/>
      <c r="G40" s="185"/>
      <c r="H40" s="186"/>
      <c r="I40" s="81">
        <f t="shared" si="1"/>
        <v>0</v>
      </c>
      <c r="J40" s="117"/>
      <c r="K40" s="116"/>
      <c r="L40" s="50"/>
      <c r="M40" s="162" t="str">
        <f>HYPERLINK("https://github.com/magdy-hasan/competitive-programming/blob/master/SPOJ/SPOJ%20QUEEN%20-%20Wandering%20Queen.cpp","Sol to read")</f>
        <v>Sol to read</v>
      </c>
    </row>
    <row r="41">
      <c r="A41" s="247"/>
      <c r="B41" s="248" t="str">
        <f>HYPERLINK("https://www.hackerrank.com/challenges/sherlock-and-probability","HACKR sherlock-and-probability")</f>
        <v>HACKR sherlock-and-probability</v>
      </c>
      <c r="C41" s="185"/>
      <c r="D41" s="185"/>
      <c r="E41" s="185"/>
      <c r="F41" s="185"/>
      <c r="G41" s="185"/>
      <c r="H41" s="186"/>
      <c r="I41" s="81">
        <f t="shared" si="1"/>
        <v>0</v>
      </c>
      <c r="J41" s="117"/>
      <c r="K41" s="116"/>
      <c r="L41" s="50"/>
      <c r="M41" s="238" t="str">
        <f>HYPERLINK("https://github.com/MohamedNabil97/CompetitiveProgramming/blob/master/Hackerrank/sherlock-and-probability.cpp","Sol")</f>
        <v>Sol</v>
      </c>
    </row>
    <row r="42">
      <c r="A42" s="189"/>
      <c r="B42" s="249"/>
      <c r="C42" s="185"/>
      <c r="D42" s="185"/>
      <c r="E42" s="185"/>
      <c r="F42" s="185"/>
      <c r="G42" s="185"/>
      <c r="H42" s="186"/>
      <c r="I42" s="81">
        <f t="shared" si="1"/>
        <v>0</v>
      </c>
      <c r="J42" s="86"/>
      <c r="K42" s="80"/>
      <c r="L42" s="185"/>
      <c r="M42" s="191" t="str">
        <f>HYPERLINK("https://www.youtube.com/watch?v=xY8To84R87Y","Watch - Algebra - Summations")</f>
        <v>Watch - Algebra - Summations</v>
      </c>
    </row>
    <row r="43">
      <c r="A43" s="189"/>
      <c r="B43" s="249"/>
      <c r="C43" s="185"/>
      <c r="D43" s="185"/>
      <c r="E43" s="185"/>
      <c r="F43" s="185"/>
      <c r="G43" s="185"/>
      <c r="H43" s="186"/>
      <c r="I43" s="81">
        <f t="shared" si="1"/>
        <v>0</v>
      </c>
      <c r="J43" s="86"/>
      <c r="K43" s="80"/>
      <c r="L43" s="185"/>
      <c r="M43" s="191" t="str">
        <f>HYPERLINK("https://www.youtube.com/watch?v=OcqD14kI3Wk","Watch - Algebra - Basic Matrix Operations")</f>
        <v>Watch - Algebra - Basic Matrix Operations</v>
      </c>
    </row>
    <row r="44">
      <c r="A44" s="192" t="s">
        <v>599</v>
      </c>
      <c r="B44" s="238" t="str">
        <f>HYPERLINK("http://codeforces.com/contest/402/problem/C","CF402-D2-C")</f>
        <v>CF402-D2-C</v>
      </c>
      <c r="C44" s="185"/>
      <c r="D44" s="185"/>
      <c r="E44" s="185"/>
      <c r="F44" s="185"/>
      <c r="G44" s="185"/>
      <c r="H44" s="186"/>
      <c r="I44" s="81">
        <f t="shared" si="1"/>
        <v>0</v>
      </c>
      <c r="J44" s="86"/>
      <c r="K44" s="80"/>
      <c r="L44" s="185"/>
      <c r="M44" s="87"/>
    </row>
    <row r="45">
      <c r="A45" s="110" t="s">
        <v>600</v>
      </c>
      <c r="B45" s="152" t="str">
        <f>HYPERLINK("http://codeforces.com/contest/227/problem/C","CF227-D2-C")</f>
        <v>CF227-D2-C</v>
      </c>
      <c r="C45" s="185"/>
      <c r="D45" s="185"/>
      <c r="E45" s="185"/>
      <c r="F45" s="185"/>
      <c r="G45" s="185"/>
      <c r="H45" s="186"/>
      <c r="I45" s="81">
        <f t="shared" si="1"/>
        <v>0</v>
      </c>
      <c r="J45" s="86"/>
      <c r="K45" s="80"/>
      <c r="L45" s="50"/>
      <c r="M45" s="47"/>
    </row>
    <row r="46">
      <c r="A46" s="110" t="s">
        <v>601</v>
      </c>
      <c r="B46" s="152" t="str">
        <f>HYPERLINK("http://codeforces.com/contest/577/problem/C","CF577-D2-C")</f>
        <v>CF577-D2-C</v>
      </c>
      <c r="C46" s="185"/>
      <c r="D46" s="185"/>
      <c r="E46" s="185"/>
      <c r="F46" s="185"/>
      <c r="G46" s="185"/>
      <c r="H46" s="186"/>
      <c r="I46" s="81">
        <f t="shared" si="1"/>
        <v>0</v>
      </c>
      <c r="J46" s="86"/>
      <c r="K46" s="80"/>
      <c r="L46" s="50"/>
      <c r="M46" s="47"/>
    </row>
    <row r="47">
      <c r="A47" s="192" t="s">
        <v>602</v>
      </c>
      <c r="B47" s="238" t="str">
        <f>HYPERLINK("http://codeforces.com/contest/71/problem/C","CF71-D2-C")</f>
        <v>CF71-D2-C</v>
      </c>
      <c r="C47" s="185"/>
      <c r="D47" s="185"/>
      <c r="E47" s="185"/>
      <c r="F47" s="185"/>
      <c r="G47" s="185"/>
      <c r="H47" s="186"/>
      <c r="I47" s="81">
        <f t="shared" si="1"/>
        <v>0</v>
      </c>
      <c r="J47" s="86"/>
      <c r="K47" s="80"/>
      <c r="L47" s="185"/>
      <c r="M47" s="87"/>
    </row>
    <row r="48">
      <c r="A48" s="192" t="s">
        <v>603</v>
      </c>
      <c r="B48" s="238" t="str">
        <f>HYPERLINK("http://codeforces.com/contest/580/problem/C","CF580-D2-C")</f>
        <v>CF580-D2-C</v>
      </c>
      <c r="C48" s="185"/>
      <c r="D48" s="185"/>
      <c r="E48" s="185"/>
      <c r="F48" s="185"/>
      <c r="G48" s="185"/>
      <c r="H48" s="186"/>
      <c r="I48" s="81">
        <f t="shared" si="1"/>
        <v>0</v>
      </c>
      <c r="J48" s="86"/>
      <c r="K48" s="80"/>
      <c r="L48" s="185"/>
      <c r="M48" s="106" t="str">
        <f>HYPERLINK("https://www.youtube.com/watch?v=ebC3c-YJDIk","Video Solution - Solver to be (Java)")</f>
        <v>Video Solution - Solver to be (Java)</v>
      </c>
    </row>
    <row r="49">
      <c r="A49" s="110" t="s">
        <v>604</v>
      </c>
      <c r="B49" s="152" t="str">
        <f>HYPERLINK("http://codeforces.com/contest/357/problem/C","CF357-D2-C")</f>
        <v>CF357-D2-C</v>
      </c>
      <c r="C49" s="50"/>
      <c r="D49" s="50"/>
      <c r="E49" s="50"/>
      <c r="F49" s="50"/>
      <c r="G49" s="50"/>
      <c r="H49" s="50"/>
      <c r="I49" s="127">
        <f t="shared" si="1"/>
        <v>0</v>
      </c>
      <c r="J49" s="117"/>
      <c r="K49" s="116"/>
      <c r="L49" s="50"/>
      <c r="M49" s="50"/>
    </row>
    <row r="50">
      <c r="A50" s="242" t="s">
        <v>605</v>
      </c>
      <c r="B50" s="49" t="str">
        <f>HYPERLINK("http://codeforces.com/contest/219/problem/B","CF219-D2-B")</f>
        <v>CF219-D2-B</v>
      </c>
      <c r="C50" s="185"/>
      <c r="D50" s="185"/>
      <c r="E50" s="185"/>
      <c r="F50" s="185"/>
      <c r="G50" s="185"/>
      <c r="H50" s="186"/>
      <c r="I50" s="81">
        <f t="shared" si="1"/>
        <v>0</v>
      </c>
      <c r="J50" s="86"/>
      <c r="K50" s="80"/>
      <c r="L50" s="185"/>
      <c r="M50" s="141"/>
    </row>
    <row r="51">
      <c r="A51" s="151"/>
      <c r="B51" s="151"/>
      <c r="C51" s="185"/>
      <c r="D51" s="185"/>
      <c r="E51" s="185"/>
      <c r="F51" s="185"/>
      <c r="G51" s="185"/>
      <c r="H51" s="186"/>
      <c r="I51" s="81">
        <f t="shared" si="1"/>
        <v>0</v>
      </c>
      <c r="J51" s="86"/>
      <c r="K51" s="80"/>
      <c r="L51" s="185"/>
      <c r="M51" s="191" t="str">
        <f>HYPERLINK("https://www.youtube.com/watch?v=F0hmrbOW8nw","Watch - Thinking - Problem Abstraction ")</f>
        <v>Watch - Thinking - Problem Abstraction </v>
      </c>
    </row>
    <row r="52">
      <c r="A52" s="151"/>
      <c r="B52" s="151"/>
      <c r="C52" s="185"/>
      <c r="D52" s="185"/>
      <c r="E52" s="185"/>
      <c r="F52" s="185"/>
      <c r="G52" s="185"/>
      <c r="H52" s="186"/>
      <c r="I52" s="81">
        <f t="shared" si="1"/>
        <v>0</v>
      </c>
      <c r="J52" s="86"/>
      <c r="K52" s="80"/>
      <c r="L52" s="185"/>
      <c r="M52" s="191" t="str">
        <f>HYPERLINK("https://www.youtube.com/watch?v=0wlc8Rhyybo","Watch - Thinking - Problem Reverse")</f>
        <v>Watch - Thinking - Problem Reverse</v>
      </c>
    </row>
    <row r="53">
      <c r="A53" s="151"/>
      <c r="B53" s="151"/>
      <c r="C53" s="185"/>
      <c r="D53" s="185"/>
      <c r="E53" s="185"/>
      <c r="F53" s="185"/>
      <c r="G53" s="185"/>
      <c r="H53" s="186"/>
      <c r="I53" s="81">
        <f t="shared" si="1"/>
        <v>0</v>
      </c>
      <c r="J53" s="86"/>
      <c r="K53" s="80"/>
      <c r="L53" s="185"/>
      <c r="M53" s="187" t="str">
        <f>HYPERLINK("https://www.youtube.com/watch?v=hLXVhRzqq18","Watch - Search Techniques - Backtracking")</f>
        <v>Watch - Search Techniques - Backtracking</v>
      </c>
    </row>
    <row r="54">
      <c r="A54" s="148" t="s">
        <v>606</v>
      </c>
      <c r="B54" s="250" t="str">
        <f>HYPERLINK("https://uva.onlinejudge.org/index.php?option=com_onlinejudge&amp;Itemid=8&amp;page=show_problem&amp;problem=129","UVA 193")</f>
        <v>UVA 193</v>
      </c>
      <c r="C54" s="185"/>
      <c r="D54" s="185"/>
      <c r="E54" s="185"/>
      <c r="F54" s="185"/>
      <c r="G54" s="185"/>
      <c r="H54" s="186"/>
      <c r="I54" s="81">
        <f t="shared" si="1"/>
        <v>0</v>
      </c>
      <c r="J54" s="86"/>
      <c r="K54" s="80"/>
      <c r="L54" s="185"/>
      <c r="M54" s="218" t="str">
        <f>HYPERLINK("https://www.youtube.com/watch?v=0hOK2hgqNE4","Video Solution - Dr Mostafa Saad")</f>
        <v>Video Solution - Dr Mostafa Saad</v>
      </c>
    </row>
    <row r="55">
      <c r="A55" s="146" t="s">
        <v>607</v>
      </c>
      <c r="B55" s="210" t="str">
        <f>HYPERLINK("https://uva.onlinejudge.org/index.php?option=com_onlinejudge&amp;Itemid=8&amp;page=show_problem&amp;problem=1285","UVA 10344")</f>
        <v>UVA 10344</v>
      </c>
      <c r="C55" s="185"/>
      <c r="D55" s="185"/>
      <c r="E55" s="185"/>
      <c r="F55" s="185"/>
      <c r="G55" s="185"/>
      <c r="H55" s="186"/>
      <c r="I55" s="81">
        <f t="shared" si="1"/>
        <v>0</v>
      </c>
      <c r="J55" s="86"/>
      <c r="K55" s="80"/>
      <c r="L55" s="185"/>
      <c r="M55" s="218" t="str">
        <f>HYPERLINK("https://www.youtube.com/watch?v=WX7rIgcgnBs","Video Solution - Eng Mohamed Nasser")</f>
        <v>Video Solution - Eng Mohamed Nasser</v>
      </c>
    </row>
    <row r="56">
      <c r="A56" s="146" t="s">
        <v>608</v>
      </c>
      <c r="B56" s="210" t="str">
        <f>HYPERLINK("https://uva.onlinejudge.org/index.php?option=com_onlinejudge&amp;Itemid=8&amp;page=show_problem&amp;problem=691","UVA 750")</f>
        <v>UVA 750</v>
      </c>
      <c r="C56" s="185"/>
      <c r="D56" s="185"/>
      <c r="E56" s="185"/>
      <c r="F56" s="185"/>
      <c r="G56" s="185"/>
      <c r="H56" s="186"/>
      <c r="I56" s="81">
        <f t="shared" si="1"/>
        <v>0</v>
      </c>
      <c r="J56" s="86"/>
      <c r="K56" s="80"/>
      <c r="L56" s="185"/>
      <c r="M56" s="218" t="str">
        <f>HYPERLINK("https://www.youtube.com/watch?v=3jMlUYEVgL0","Video Solution - Eng Ayman Salah")</f>
        <v>Video Solution - Eng Ayman Salah</v>
      </c>
    </row>
    <row r="57">
      <c r="A57" s="196" t="s">
        <v>609</v>
      </c>
      <c r="B57" s="197" t="str">
        <f>HYPERLINK("https://uva.onlinejudge.org/index.php?option=onlinejudge&amp;page=show_problem&amp;problem=3276","UVA 12124")</f>
        <v>UVA 12124</v>
      </c>
      <c r="C57" s="185"/>
      <c r="D57" s="185"/>
      <c r="E57" s="185"/>
      <c r="F57" s="185"/>
      <c r="G57" s="185"/>
      <c r="H57" s="186"/>
      <c r="I57" s="81">
        <f t="shared" si="1"/>
        <v>0</v>
      </c>
      <c r="J57" s="86"/>
      <c r="K57" s="80"/>
      <c r="L57" s="185"/>
      <c r="M57" s="238" t="str">
        <f>HYPERLINK("https://github.com/mostafa-saad/MyCompetitiveProgramming/blob/master/UVA/UVA_12124.txt","Sol")</f>
        <v>Sol</v>
      </c>
    </row>
    <row r="58">
      <c r="A58" s="196"/>
      <c r="B58" s="196" t="s">
        <v>610</v>
      </c>
      <c r="C58" s="185"/>
      <c r="D58" s="185"/>
      <c r="E58" s="185"/>
      <c r="F58" s="185"/>
      <c r="G58" s="185"/>
      <c r="H58" s="186"/>
      <c r="I58" s="81">
        <f t="shared" si="1"/>
        <v>0</v>
      </c>
      <c r="J58" s="86"/>
      <c r="K58" s="80"/>
      <c r="L58" s="185"/>
      <c r="M58" s="238" t="str">
        <f>HYPERLINK("https://stackoverflow.com/questions/25281005/calculating-probability-for-funprob","Sol")</f>
        <v>Sol</v>
      </c>
    </row>
    <row r="59">
      <c r="A59" s="87"/>
      <c r="B59" s="87"/>
      <c r="C59" s="185"/>
      <c r="D59" s="185"/>
      <c r="E59" s="185"/>
      <c r="F59" s="185"/>
      <c r="G59" s="185"/>
      <c r="H59" s="186"/>
      <c r="I59" s="81">
        <f t="shared" si="1"/>
        <v>0</v>
      </c>
      <c r="J59" s="86"/>
      <c r="K59" s="80"/>
      <c r="L59" s="185"/>
      <c r="M59" s="87"/>
    </row>
    <row r="60">
      <c r="A60" s="192" t="s">
        <v>611</v>
      </c>
      <c r="B60" s="238" t="str">
        <f>HYPERLINK("http://codeforces.com/contest/424/problem/C","CF424-D2-C")</f>
        <v>CF424-D2-C</v>
      </c>
      <c r="C60" s="185"/>
      <c r="D60" s="185"/>
      <c r="E60" s="185"/>
      <c r="F60" s="185"/>
      <c r="G60" s="185"/>
      <c r="H60" s="186"/>
      <c r="I60" s="81">
        <f t="shared" si="1"/>
        <v>0</v>
      </c>
      <c r="J60" s="86"/>
      <c r="K60" s="80"/>
      <c r="L60" s="185"/>
      <c r="M60" s="151"/>
    </row>
    <row r="61">
      <c r="A61" s="192" t="s">
        <v>612</v>
      </c>
      <c r="B61" s="238" t="str">
        <f>HYPERLINK("http://codeforces.com/contest/707/problem/C","CF707-D2-C")</f>
        <v>CF707-D2-C</v>
      </c>
      <c r="C61" s="185"/>
      <c r="D61" s="185"/>
      <c r="E61" s="185"/>
      <c r="F61" s="185"/>
      <c r="G61" s="185"/>
      <c r="H61" s="186"/>
      <c r="I61" s="81">
        <f t="shared" si="1"/>
        <v>0</v>
      </c>
      <c r="J61" s="86"/>
      <c r="K61" s="80"/>
      <c r="L61" s="185"/>
      <c r="M61" s="151"/>
    </row>
    <row r="62">
      <c r="A62" s="192" t="s">
        <v>613</v>
      </c>
      <c r="B62" s="238" t="str">
        <f>HYPERLINK("http://codeforces.com/contest/560/problem/C","CF560-D2-C")</f>
        <v>CF560-D2-C</v>
      </c>
      <c r="C62" s="185"/>
      <c r="D62" s="185"/>
      <c r="E62" s="185"/>
      <c r="F62" s="185"/>
      <c r="G62" s="185"/>
      <c r="H62" s="186"/>
      <c r="I62" s="81">
        <f t="shared" si="1"/>
        <v>0</v>
      </c>
      <c r="J62" s="86"/>
      <c r="K62" s="80"/>
      <c r="L62" s="185"/>
      <c r="M62" s="249"/>
    </row>
    <row r="63">
      <c r="A63" s="110" t="s">
        <v>614</v>
      </c>
      <c r="B63" s="152" t="str">
        <f>HYPERLINK("http://codeforces.com/contest/252/problem/C","CF252-D2-C")</f>
        <v>CF252-D2-C</v>
      </c>
      <c r="C63" s="185"/>
      <c r="D63" s="185"/>
      <c r="E63" s="185"/>
      <c r="F63" s="185"/>
      <c r="G63" s="185"/>
      <c r="H63" s="186"/>
      <c r="I63" s="81">
        <f t="shared" si="1"/>
        <v>0</v>
      </c>
      <c r="J63" s="86"/>
      <c r="K63" s="80"/>
      <c r="L63" s="50"/>
      <c r="M63" s="47"/>
    </row>
    <row r="64">
      <c r="A64" s="110" t="s">
        <v>615</v>
      </c>
      <c r="B64" s="152" t="str">
        <f>HYPERLINK("http://codeforces.com/contest/353/problem/C","CF353-D2-C")</f>
        <v>CF353-D2-C</v>
      </c>
      <c r="C64" s="185"/>
      <c r="D64" s="185"/>
      <c r="E64" s="185"/>
      <c r="F64" s="185"/>
      <c r="G64" s="185"/>
      <c r="H64" s="186"/>
      <c r="I64" s="81">
        <f t="shared" si="1"/>
        <v>0</v>
      </c>
      <c r="J64" s="86"/>
      <c r="K64" s="80"/>
      <c r="L64" s="50"/>
      <c r="M64" s="47"/>
    </row>
    <row r="65">
      <c r="A65" s="242" t="s">
        <v>616</v>
      </c>
      <c r="B65" s="49" t="str">
        <f>HYPERLINK("http://codeforces.com/contest/450/problem/B","CF450-D2-B")</f>
        <v>CF450-D2-B</v>
      </c>
      <c r="C65" s="185"/>
      <c r="D65" s="185"/>
      <c r="E65" s="185"/>
      <c r="F65" s="185"/>
      <c r="G65" s="185"/>
      <c r="H65" s="186"/>
      <c r="I65" s="81">
        <f t="shared" si="1"/>
        <v>0</v>
      </c>
      <c r="J65" s="86"/>
      <c r="K65" s="80"/>
      <c r="L65" s="185"/>
      <c r="M65" s="87"/>
    </row>
    <row r="66">
      <c r="A66" s="242" t="s">
        <v>617</v>
      </c>
      <c r="B66" s="49" t="str">
        <f>HYPERLINK("http://codeforces.com/contest/570/problem/B","CF570-D2-B")</f>
        <v>CF570-D2-B</v>
      </c>
      <c r="C66" s="185"/>
      <c r="D66" s="185"/>
      <c r="E66" s="185"/>
      <c r="F66" s="185"/>
      <c r="G66" s="185"/>
      <c r="H66" s="186"/>
      <c r="I66" s="81">
        <f t="shared" si="1"/>
        <v>0</v>
      </c>
      <c r="J66" s="86"/>
      <c r="K66" s="80"/>
      <c r="L66" s="185"/>
      <c r="M66" s="87"/>
    </row>
    <row r="67">
      <c r="A67" s="242" t="s">
        <v>618</v>
      </c>
      <c r="B67" s="49" t="str">
        <f>HYPERLINK("http://codeforces.com/contest/271/problem/B","CF271-D2-B")</f>
        <v>CF271-D2-B</v>
      </c>
      <c r="C67" s="185"/>
      <c r="D67" s="185"/>
      <c r="E67" s="185"/>
      <c r="F67" s="185"/>
      <c r="G67" s="185"/>
      <c r="H67" s="186"/>
      <c r="I67" s="81">
        <f t="shared" si="1"/>
        <v>0</v>
      </c>
      <c r="J67" s="86"/>
      <c r="K67" s="80"/>
      <c r="L67" s="185"/>
      <c r="M67" s="87"/>
    </row>
    <row r="68">
      <c r="A68" s="189"/>
      <c r="B68" s="249"/>
      <c r="C68" s="185"/>
      <c r="D68" s="185"/>
      <c r="E68" s="185"/>
      <c r="F68" s="185"/>
      <c r="G68" s="185"/>
      <c r="H68" s="186"/>
      <c r="I68" s="81">
        <f t="shared" si="1"/>
        <v>0</v>
      </c>
      <c r="J68" s="86"/>
      <c r="K68" s="80"/>
      <c r="L68" s="185"/>
      <c r="M68" s="209" t="str">
        <f>HYPERLINK("https://www.youtube.com/watch?v=ldwGf-iVsdU&amp;t=2s&amp;list=PLPt2dINI2MIZPFq6HyUB1Uhxdh1UDnZMS","Review bitmasking")</f>
        <v>Review bitmasking</v>
      </c>
    </row>
    <row r="69">
      <c r="A69" s="189"/>
      <c r="B69" s="249"/>
      <c r="C69" s="185"/>
      <c r="D69" s="185"/>
      <c r="E69" s="185"/>
      <c r="F69" s="185"/>
      <c r="G69" s="185"/>
      <c r="H69" s="186"/>
      <c r="I69" s="81">
        <f t="shared" si="1"/>
        <v>0</v>
      </c>
      <c r="J69" s="86"/>
      <c r="K69" s="80"/>
      <c r="L69" s="185"/>
      <c r="M69" s="187" t="str">
        <f>HYPERLINK("https://www.youtube.com/watch?v=vAqaki1BhS0","Watch - DP - Subset Style")</f>
        <v>Watch - DP - Subset Style</v>
      </c>
    </row>
    <row r="70">
      <c r="A70" s="146" t="s">
        <v>619</v>
      </c>
      <c r="B70" s="251" t="str">
        <f>HYPERLINK("https://uva.onlinejudge.org/index.php?option=onlinejudge&amp;page=show_problem&amp;problem=1133","UVA 10192")</f>
        <v>UVA 10192</v>
      </c>
      <c r="C70" s="185"/>
      <c r="D70" s="185"/>
      <c r="E70" s="185"/>
      <c r="F70" s="185"/>
      <c r="G70" s="185"/>
      <c r="H70" s="186"/>
      <c r="I70" s="81">
        <f t="shared" si="1"/>
        <v>0</v>
      </c>
      <c r="J70" s="86"/>
      <c r="K70" s="80"/>
      <c r="L70" s="50"/>
      <c r="M70" s="252" t="s">
        <v>620</v>
      </c>
    </row>
    <row r="71">
      <c r="A71" s="146" t="s">
        <v>621</v>
      </c>
      <c r="B71" s="251" t="str">
        <f>HYPERLINK("https://uva.onlinejudge.org/index.php?option=com_onlinejudge&amp;Itemid=8&amp;page=show_problem&amp;problem=503","UVA 562")</f>
        <v>UVA 562</v>
      </c>
      <c r="C71" s="185"/>
      <c r="D71" s="185"/>
      <c r="E71" s="185"/>
      <c r="F71" s="185"/>
      <c r="G71" s="185"/>
      <c r="H71" s="186"/>
      <c r="I71" s="81">
        <f t="shared" si="1"/>
        <v>0</v>
      </c>
      <c r="J71" s="86"/>
      <c r="K71" s="80"/>
      <c r="L71" s="50"/>
      <c r="M71" s="218" t="str">
        <f>HYPERLINK("https://www.youtube.com/watch?v=HN-oKkysTmc","Video Solution - Eng Ayman Salah")</f>
        <v>Video Solution - Eng Ayman Salah</v>
      </c>
    </row>
    <row r="72">
      <c r="A72" s="189"/>
      <c r="B72" s="249"/>
      <c r="C72" s="185"/>
      <c r="D72" s="185"/>
      <c r="E72" s="185"/>
      <c r="F72" s="185"/>
      <c r="G72" s="185"/>
      <c r="H72" s="186"/>
      <c r="I72" s="81">
        <f t="shared" si="1"/>
        <v>0</v>
      </c>
      <c r="J72" s="86"/>
      <c r="K72" s="80"/>
      <c r="L72" s="185"/>
      <c r="M72" s="187" t="str">
        <f>HYPERLINK("https://www.youtube.com/watch?v=bDlAqeWsKsg","Watch - DP - Consecutive Ranges Style")</f>
        <v>Watch - DP - Consecutive Ranges Style</v>
      </c>
    </row>
    <row r="73">
      <c r="A73" s="146"/>
      <c r="B73" s="146" t="s">
        <v>622</v>
      </c>
      <c r="C73" s="185"/>
      <c r="D73" s="185"/>
      <c r="E73" s="185"/>
      <c r="F73" s="185"/>
      <c r="G73" s="185"/>
      <c r="H73" s="186"/>
      <c r="I73" s="81">
        <f t="shared" si="1"/>
        <v>0</v>
      </c>
      <c r="J73" s="86"/>
      <c r="K73" s="80"/>
      <c r="L73" s="185"/>
      <c r="M73" s="187"/>
    </row>
    <row r="74">
      <c r="A74" s="146"/>
      <c r="B74" s="146" t="s">
        <v>623</v>
      </c>
      <c r="C74" s="185"/>
      <c r="D74" s="185"/>
      <c r="E74" s="185"/>
      <c r="F74" s="185"/>
      <c r="G74" s="185"/>
      <c r="H74" s="186"/>
      <c r="I74" s="81">
        <f t="shared" si="1"/>
        <v>0</v>
      </c>
      <c r="J74" s="86"/>
      <c r="K74" s="80"/>
      <c r="L74" s="185"/>
      <c r="M74" s="187"/>
    </row>
    <row r="75">
      <c r="A75" s="196" t="s">
        <v>624</v>
      </c>
      <c r="B75" s="197" t="str">
        <f>HYPERLINK("https://uva.onlinejudge.org/index.php?option=com_onlinejudge&amp;Itemid=8&amp;page=show_problem&amp;problem=37","UVA 101")</f>
        <v>UVA 101</v>
      </c>
      <c r="C75" s="185"/>
      <c r="D75" s="185"/>
      <c r="E75" s="185"/>
      <c r="F75" s="185"/>
      <c r="G75" s="185"/>
      <c r="H75" s="186"/>
      <c r="I75" s="81">
        <f t="shared" si="1"/>
        <v>0</v>
      </c>
      <c r="J75" s="86"/>
      <c r="K75" s="80"/>
      <c r="L75" s="185"/>
      <c r="M75" s="253" t="s">
        <v>625</v>
      </c>
    </row>
    <row r="76">
      <c r="A76" s="196" t="s">
        <v>626</v>
      </c>
      <c r="B76" s="197" t="str">
        <f>HYPERLINK("https://uva.onlinejudge.org/index.php?option=com_onlinejudge&amp;Itemid=8&amp;page=show_problem&amp;problem=977","UVA 10036")</f>
        <v>UVA 10036</v>
      </c>
      <c r="C76" s="185"/>
      <c r="D76" s="185"/>
      <c r="E76" s="185"/>
      <c r="F76" s="185"/>
      <c r="G76" s="185"/>
      <c r="H76" s="186"/>
      <c r="I76" s="81">
        <f t="shared" si="1"/>
        <v>0</v>
      </c>
      <c r="J76" s="86"/>
      <c r="K76" s="80"/>
      <c r="L76" s="185"/>
      <c r="M76" s="253" t="s">
        <v>625</v>
      </c>
    </row>
    <row r="77">
      <c r="A77" s="196"/>
      <c r="B77" s="196" t="s">
        <v>627</v>
      </c>
      <c r="C77" s="185"/>
      <c r="D77" s="185"/>
      <c r="E77" s="185"/>
      <c r="F77" s="185"/>
      <c r="G77" s="185"/>
      <c r="H77" s="186"/>
      <c r="I77" s="81">
        <f t="shared" si="1"/>
        <v>0</v>
      </c>
      <c r="J77" s="86"/>
      <c r="K77" s="80"/>
      <c r="L77" s="185"/>
      <c r="M77" s="238" t="str">
        <f>HYPERLINK("https://github.com/mostafa-saad/MyCompetitiveProgramming/blob/master/UVA/UVA_11628.txt","Sol")</f>
        <v>Sol</v>
      </c>
    </row>
    <row r="78">
      <c r="A78" s="87"/>
      <c r="B78" s="87"/>
      <c r="C78" s="185"/>
      <c r="D78" s="185"/>
      <c r="E78" s="185"/>
      <c r="F78" s="185"/>
      <c r="G78" s="185"/>
      <c r="H78" s="186"/>
      <c r="I78" s="81">
        <f t="shared" si="1"/>
        <v>0</v>
      </c>
      <c r="J78" s="86"/>
      <c r="K78" s="80"/>
      <c r="L78" s="185"/>
      <c r="M78" s="87"/>
    </row>
    <row r="79">
      <c r="A79" s="110" t="s">
        <v>628</v>
      </c>
      <c r="B79" s="152" t="str">
        <f>HYPERLINK("http://codeforces.com/contest/344/problem/C","CF344-D2-C")</f>
        <v>CF344-D2-C</v>
      </c>
      <c r="C79" s="185"/>
      <c r="D79" s="185"/>
      <c r="E79" s="185"/>
      <c r="F79" s="185"/>
      <c r="G79" s="185"/>
      <c r="H79" s="186"/>
      <c r="I79" s="81">
        <f t="shared" si="1"/>
        <v>0</v>
      </c>
      <c r="J79" s="117"/>
      <c r="K79" s="116"/>
      <c r="L79" s="50"/>
      <c r="M79" s="87"/>
    </row>
    <row r="80">
      <c r="A80" s="192" t="s">
        <v>629</v>
      </c>
      <c r="B80" s="238" t="str">
        <f>HYPERLINK("http://codeforces.com/contest/275/problem/C","CF275-D2-C")</f>
        <v>CF275-D2-C</v>
      </c>
      <c r="C80" s="185"/>
      <c r="D80" s="185"/>
      <c r="E80" s="185"/>
      <c r="F80" s="185"/>
      <c r="G80" s="185"/>
      <c r="H80" s="186"/>
      <c r="I80" s="81">
        <f t="shared" si="1"/>
        <v>0</v>
      </c>
      <c r="J80" s="86"/>
      <c r="K80" s="80"/>
      <c r="L80" s="185"/>
      <c r="M80" s="151"/>
    </row>
    <row r="81">
      <c r="A81" s="110" t="s">
        <v>630</v>
      </c>
      <c r="B81" s="152" t="str">
        <f>HYPERLINK("http://codeforces.com/contest/534/problem/C","CF534-D2-C")</f>
        <v>CF534-D2-C</v>
      </c>
      <c r="C81" s="185"/>
      <c r="D81" s="185"/>
      <c r="E81" s="185"/>
      <c r="F81" s="185"/>
      <c r="G81" s="185"/>
      <c r="H81" s="186"/>
      <c r="I81" s="81">
        <f t="shared" si="1"/>
        <v>0</v>
      </c>
      <c r="J81" s="86"/>
      <c r="K81" s="80"/>
      <c r="L81" s="50"/>
      <c r="M81" s="254" t="str">
        <f>HYPERLINK("https://codeforces.com/contest/534/submission/61924545","Sol")</f>
        <v>Sol</v>
      </c>
    </row>
    <row r="82">
      <c r="A82" s="242" t="s">
        <v>631</v>
      </c>
      <c r="B82" s="49" t="str">
        <f>HYPERLINK("http://codeforces.com/contest/631/problem/B","CF631-D2-B")</f>
        <v>CF631-D2-B</v>
      </c>
      <c r="C82" s="185"/>
      <c r="D82" s="185"/>
      <c r="E82" s="185"/>
      <c r="F82" s="185"/>
      <c r="G82" s="185"/>
      <c r="H82" s="186"/>
      <c r="I82" s="81">
        <f t="shared" si="1"/>
        <v>0</v>
      </c>
      <c r="J82" s="86"/>
      <c r="K82" s="80"/>
      <c r="L82" s="50"/>
      <c r="M82" s="47"/>
    </row>
    <row r="83">
      <c r="A83" s="242" t="s">
        <v>632</v>
      </c>
      <c r="B83" s="49" t="str">
        <f>HYPERLINK("http://codeforces.com/contest/257/problem/B","CF257-D2-B")</f>
        <v>CF257-D2-B</v>
      </c>
      <c r="C83" s="185"/>
      <c r="D83" s="185"/>
      <c r="E83" s="185"/>
      <c r="F83" s="185"/>
      <c r="G83" s="185"/>
      <c r="H83" s="186"/>
      <c r="I83" s="81">
        <f t="shared" si="1"/>
        <v>0</v>
      </c>
      <c r="J83" s="86"/>
      <c r="K83" s="80"/>
      <c r="L83" s="50"/>
      <c r="M83" s="47"/>
    </row>
    <row r="84">
      <c r="A84" s="242" t="s">
        <v>633</v>
      </c>
      <c r="B84" s="49" t="str">
        <f>HYPERLINK("http://codeforces.com/contest/230/problem/B","CF230-D2-B")</f>
        <v>CF230-D2-B</v>
      </c>
      <c r="C84" s="185"/>
      <c r="D84" s="185"/>
      <c r="E84" s="185"/>
      <c r="F84" s="185"/>
      <c r="G84" s="185"/>
      <c r="H84" s="186"/>
      <c r="I84" s="81">
        <f t="shared" si="1"/>
        <v>0</v>
      </c>
      <c r="J84" s="86"/>
      <c r="K84" s="80"/>
      <c r="L84" s="50"/>
      <c r="M84" s="47"/>
    </row>
    <row r="85">
      <c r="A85" s="189"/>
      <c r="B85" s="249"/>
      <c r="C85" s="185"/>
      <c r="D85" s="185"/>
      <c r="E85" s="185"/>
      <c r="F85" s="185"/>
      <c r="G85" s="185"/>
      <c r="H85" s="186"/>
      <c r="I85" s="81">
        <f t="shared" si="1"/>
        <v>0</v>
      </c>
      <c r="J85" s="86"/>
      <c r="K85" s="80"/>
      <c r="L85" s="185"/>
      <c r="M85" s="187" t="str">
        <f>HYPERLINK("https://www.youtube.com/watch?v=b4AC2jGNGEM","Watch - DP - Nested Ranges Style")</f>
        <v>Watch - DP - Nested Ranges Style</v>
      </c>
    </row>
    <row r="86">
      <c r="A86" s="189"/>
      <c r="B86" s="249"/>
      <c r="C86" s="185"/>
      <c r="D86" s="185"/>
      <c r="E86" s="185"/>
      <c r="F86" s="185"/>
      <c r="G86" s="185"/>
      <c r="H86" s="186"/>
      <c r="I86" s="81">
        <f t="shared" si="1"/>
        <v>0</v>
      </c>
      <c r="J86" s="86"/>
      <c r="K86" s="80"/>
      <c r="L86" s="185"/>
      <c r="M86" s="191" t="str">
        <f>HYPERLINK("https://www.youtube.com/watch?v=pJbeTrSKl3Y","Watch - DP - General Ranges Style")</f>
        <v>Watch - DP - General Ranges Style</v>
      </c>
    </row>
    <row r="87">
      <c r="A87" s="146" t="s">
        <v>634</v>
      </c>
      <c r="B87" s="210" t="str">
        <f>HYPERLINK("https://uva.onlinejudge.org/index.php?option=com_onlinejudge&amp;Itemid=8&amp;page=show_problem&amp;problem=2853","UVA 11753")</f>
        <v>UVA 11753</v>
      </c>
      <c r="C87" s="185"/>
      <c r="D87" s="185"/>
      <c r="E87" s="185"/>
      <c r="F87" s="185"/>
      <c r="G87" s="185"/>
      <c r="H87" s="186"/>
      <c r="I87" s="81">
        <f t="shared" si="1"/>
        <v>0</v>
      </c>
      <c r="J87" s="86"/>
      <c r="K87" s="80"/>
      <c r="L87" s="185"/>
      <c r="M87" s="195" t="str">
        <f>HYPERLINK("https://www.youtube.com/watch?v=1fP2Rl0-rWk","Video Solution - Eng Aya Elymany")</f>
        <v>Video Solution - Eng Aya Elymany</v>
      </c>
    </row>
    <row r="88">
      <c r="A88" s="146" t="s">
        <v>635</v>
      </c>
      <c r="B88" s="210" t="str">
        <f>HYPERLINK("https://uva.onlinejudge.org/index.php?option=com_onlinejudge&amp;Itemid=8&amp;page=show_problem&amp;problem=1558","UVA 10617")</f>
        <v>UVA 10617</v>
      </c>
      <c r="C88" s="185"/>
      <c r="D88" s="185"/>
      <c r="E88" s="185"/>
      <c r="F88" s="185"/>
      <c r="G88" s="185"/>
      <c r="H88" s="186"/>
      <c r="I88" s="81">
        <f t="shared" si="1"/>
        <v>0</v>
      </c>
      <c r="J88" s="86"/>
      <c r="K88" s="80"/>
      <c r="L88" s="50"/>
      <c r="M88" s="162" t="str">
        <f>HYPERLINK("https://github.com/magdy-hasan/competitive-programming/blob/master/uva-/uva%2010617%20-%20Again%20Palindrome.cpp","Sol to read")</f>
        <v>Sol to read</v>
      </c>
    </row>
    <row r="89">
      <c r="A89" s="146" t="s">
        <v>636</v>
      </c>
      <c r="B89" s="210" t="str">
        <f>HYPERLINK("https://uva.onlinejudge.org/index.php?option=com_onlinejudge&amp;Itemid=8&amp;page=show_problem&amp;problem=4108","UVA 1362")</f>
        <v>UVA 1362</v>
      </c>
      <c r="C89" s="185"/>
      <c r="D89" s="185"/>
      <c r="E89" s="185"/>
      <c r="F89" s="185"/>
      <c r="G89" s="185"/>
      <c r="H89" s="186"/>
      <c r="I89" s="81">
        <f t="shared" si="1"/>
        <v>0</v>
      </c>
      <c r="J89" s="86"/>
      <c r="K89" s="80"/>
      <c r="L89" s="185"/>
      <c r="M89" s="195" t="str">
        <f>HYPERLINK("https://www.youtube.com/watch?v=NTxsccxXCW0","Video Solution - Eng Ayman Salah")</f>
        <v>Video Solution - Eng Ayman Salah</v>
      </c>
    </row>
    <row r="90">
      <c r="A90" s="146" t="s">
        <v>637</v>
      </c>
      <c r="B90" s="210" t="str">
        <f>HYPERLINK("https://uva.onlinejudge.org/index.php?option=com_onlinejudge&amp;Itemid=8&amp;page=show_problem&amp;problem=944","UVA 10003")</f>
        <v>UVA 10003</v>
      </c>
      <c r="C90" s="185"/>
      <c r="D90" s="185"/>
      <c r="E90" s="185"/>
      <c r="F90" s="185"/>
      <c r="G90" s="185"/>
      <c r="H90" s="186"/>
      <c r="I90" s="81">
        <f t="shared" si="1"/>
        <v>0</v>
      </c>
      <c r="J90" s="86"/>
      <c r="K90" s="80"/>
      <c r="L90" s="50"/>
      <c r="M90" s="47"/>
    </row>
    <row r="91">
      <c r="A91" s="196" t="s">
        <v>638</v>
      </c>
      <c r="B91" s="197" t="str">
        <f>HYPERLINK("https://uva.onlinejudge.org/index.php?option=com_onlinejudge&amp;Itemid=8&amp;page=show_problem&amp;problem=284","UVA 348")</f>
        <v>UVA 348</v>
      </c>
      <c r="C91" s="185"/>
      <c r="D91" s="185"/>
      <c r="E91" s="185"/>
      <c r="F91" s="185"/>
      <c r="G91" s="185"/>
      <c r="H91" s="186"/>
      <c r="I91" s="81">
        <f t="shared" si="1"/>
        <v>0</v>
      </c>
      <c r="J91" s="86"/>
      <c r="K91" s="80"/>
      <c r="L91" s="185"/>
      <c r="M91" s="238" t="str">
        <f>HYPERLINK("https://github.com/mostafa-saad/MyCompetitiveProgramming/blob/master/UVA/UVA_348.txt","Sol")</f>
        <v>Sol</v>
      </c>
    </row>
    <row r="92">
      <c r="A92" s="196" t="s">
        <v>639</v>
      </c>
      <c r="B92" s="197" t="str">
        <f>HYPERLINK("https://uva.onlinejudge.org/index.php?option=onlinejudge&amp;page=show_problem&amp;problem=63","UVA 127")</f>
        <v>UVA 127</v>
      </c>
      <c r="C92" s="185"/>
      <c r="D92" s="185"/>
      <c r="E92" s="185"/>
      <c r="F92" s="185"/>
      <c r="G92" s="185"/>
      <c r="H92" s="186"/>
      <c r="I92" s="81">
        <f t="shared" si="1"/>
        <v>0</v>
      </c>
      <c r="J92" s="86"/>
      <c r="K92" s="80"/>
      <c r="L92" s="185"/>
      <c r="M92" s="195" t="str">
        <f>HYPERLINK("https://www.youtube.com/watch?v=fSZRRUPm0ro&amp;feature=youtu.be","Video Solution - Eng Moaz Rashad")</f>
        <v>Video Solution - Eng Moaz Rashad</v>
      </c>
    </row>
    <row r="93">
      <c r="A93" s="196" t="s">
        <v>640</v>
      </c>
      <c r="B93" s="197" t="str">
        <f>HYPERLINK("https://uva.onlinejudge.org/index.php?option=com_onlinejudge&amp;Itemid=8&amp;page=show_problem&amp;problem=64","UVA 128")</f>
        <v>UVA 128</v>
      </c>
      <c r="C93" s="185"/>
      <c r="D93" s="185"/>
      <c r="E93" s="185"/>
      <c r="F93" s="185"/>
      <c r="G93" s="185"/>
      <c r="H93" s="186"/>
      <c r="I93" s="81">
        <f t="shared" si="1"/>
        <v>0</v>
      </c>
      <c r="J93" s="86"/>
      <c r="K93" s="80"/>
      <c r="L93" s="185"/>
      <c r="M93" s="195" t="str">
        <f>HYPERLINK("https://www.youtube.com/watch?v=ifTqIif9WJg","Video Solution - Eng Moaz Rashad")</f>
        <v>Video Solution - Eng Moaz Rashad</v>
      </c>
    </row>
    <row r="94">
      <c r="A94" s="196"/>
      <c r="B94" s="241" t="s">
        <v>641</v>
      </c>
      <c r="C94" s="185"/>
      <c r="D94" s="185"/>
      <c r="E94" s="185"/>
      <c r="F94" s="185"/>
      <c r="G94" s="185"/>
      <c r="H94" s="186"/>
      <c r="I94" s="81">
        <f t="shared" si="1"/>
        <v>0</v>
      </c>
      <c r="J94" s="86"/>
      <c r="K94" s="80"/>
      <c r="L94" s="185"/>
      <c r="M94" s="195" t="s">
        <v>625</v>
      </c>
    </row>
    <row r="95">
      <c r="A95" s="87"/>
      <c r="B95" s="87"/>
      <c r="C95" s="185"/>
      <c r="D95" s="185"/>
      <c r="E95" s="185"/>
      <c r="F95" s="185"/>
      <c r="G95" s="185"/>
      <c r="H95" s="186"/>
      <c r="I95" s="81">
        <f t="shared" si="1"/>
        <v>0</v>
      </c>
      <c r="J95" s="86"/>
      <c r="K95" s="80"/>
      <c r="L95" s="185"/>
      <c r="M95" s="249"/>
    </row>
    <row r="96">
      <c r="A96" s="192" t="s">
        <v>642</v>
      </c>
      <c r="B96" s="238" t="str">
        <f>HYPERLINK("http://codeforces.com/contest/378/problem/C","CF378-D2-C")</f>
        <v>CF378-D2-C</v>
      </c>
      <c r="C96" s="185"/>
      <c r="D96" s="185"/>
      <c r="E96" s="185"/>
      <c r="F96" s="185"/>
      <c r="G96" s="185"/>
      <c r="H96" s="186"/>
      <c r="I96" s="81">
        <f t="shared" si="1"/>
        <v>0</v>
      </c>
      <c r="J96" s="86"/>
      <c r="K96" s="80"/>
      <c r="L96" s="185"/>
      <c r="M96" s="151"/>
    </row>
    <row r="97">
      <c r="A97" s="192" t="s">
        <v>643</v>
      </c>
      <c r="B97" s="238" t="str">
        <f>HYPERLINK("http://codeforces.com/contest/705/problem/C","CF705-D2-C")</f>
        <v>CF705-D2-C</v>
      </c>
      <c r="C97" s="185"/>
      <c r="D97" s="185"/>
      <c r="E97" s="185"/>
      <c r="F97" s="185"/>
      <c r="G97" s="185"/>
      <c r="H97" s="186"/>
      <c r="I97" s="81">
        <f t="shared" si="1"/>
        <v>0</v>
      </c>
      <c r="J97" s="86"/>
      <c r="K97" s="80"/>
      <c r="L97" s="185"/>
      <c r="M97" s="87"/>
    </row>
    <row r="98">
      <c r="A98" s="192" t="s">
        <v>644</v>
      </c>
      <c r="B98" s="238" t="str">
        <f>HYPERLINK("http://codeforces.com/contest/706/problem/C","CF706-D2-C")</f>
        <v>CF706-D2-C</v>
      </c>
      <c r="C98" s="185"/>
      <c r="D98" s="185"/>
      <c r="E98" s="185"/>
      <c r="F98" s="185"/>
      <c r="G98" s="185"/>
      <c r="H98" s="186"/>
      <c r="I98" s="81">
        <f t="shared" si="1"/>
        <v>0</v>
      </c>
      <c r="J98" s="86"/>
      <c r="K98" s="80"/>
      <c r="L98" s="185"/>
      <c r="M98" s="87"/>
    </row>
    <row r="99">
      <c r="A99" s="192" t="s">
        <v>645</v>
      </c>
      <c r="B99" s="238" t="str">
        <f>HYPERLINK("http://codeforces.com/contest/405/problem/C","CF405-D2-C")</f>
        <v>CF405-D2-C</v>
      </c>
      <c r="C99" s="185"/>
      <c r="D99" s="185"/>
      <c r="E99" s="185"/>
      <c r="F99" s="185"/>
      <c r="G99" s="185"/>
      <c r="H99" s="186"/>
      <c r="I99" s="81">
        <f t="shared" si="1"/>
        <v>0</v>
      </c>
      <c r="J99" s="86"/>
      <c r="K99" s="80"/>
      <c r="L99" s="185"/>
      <c r="M99" s="87"/>
    </row>
    <row r="100">
      <c r="A100" s="192" t="s">
        <v>646</v>
      </c>
      <c r="B100" s="238" t="str">
        <f>HYPERLINK("http://codeforces.com/contest/486/problem/C","CF486-D2-C")</f>
        <v>CF486-D2-C</v>
      </c>
      <c r="C100" s="185"/>
      <c r="D100" s="185"/>
      <c r="E100" s="185"/>
      <c r="F100" s="185"/>
      <c r="G100" s="185"/>
      <c r="H100" s="186"/>
      <c r="I100" s="81">
        <f t="shared" si="1"/>
        <v>0</v>
      </c>
      <c r="J100" s="86"/>
      <c r="K100" s="80"/>
      <c r="L100" s="185"/>
      <c r="M100" s="87"/>
    </row>
    <row r="101">
      <c r="A101" s="110" t="s">
        <v>647</v>
      </c>
      <c r="B101" s="152" t="str">
        <f>HYPERLINK("http://codeforces.com/contest/496/problem/C","CF496-D2-C")</f>
        <v>CF496-D2-C</v>
      </c>
      <c r="C101" s="185"/>
      <c r="D101" s="185"/>
      <c r="E101" s="185"/>
      <c r="F101" s="185"/>
      <c r="G101" s="185"/>
      <c r="H101" s="186"/>
      <c r="I101" s="81">
        <f t="shared" si="1"/>
        <v>0</v>
      </c>
      <c r="J101" s="86"/>
      <c r="K101" s="80"/>
      <c r="L101" s="50"/>
      <c r="M101" s="255" t="str">
        <f>HYPERLINK("https://www.youtube.com/watch?v=skSCRsMLPMI","Video Solution - Dr Mostafa Saad")</f>
        <v>Video Solution - Dr Mostafa Saad</v>
      </c>
    </row>
    <row r="102">
      <c r="A102" s="110" t="s">
        <v>648</v>
      </c>
      <c r="B102" s="152" t="str">
        <f>HYPERLINK("http://codeforces.com/contest/499/problem/C","CF499-D2-C")</f>
        <v>CF499-D2-C</v>
      </c>
      <c r="C102" s="185"/>
      <c r="D102" s="185"/>
      <c r="E102" s="185"/>
      <c r="F102" s="185"/>
      <c r="G102" s="185"/>
      <c r="H102" s="186"/>
      <c r="I102" s="81">
        <f t="shared" si="1"/>
        <v>0</v>
      </c>
      <c r="J102" s="117"/>
      <c r="K102" s="116"/>
      <c r="L102" s="50"/>
      <c r="M102" s="249" t="str">
        <f>HYPERLINK("https://www.youtube.com/watch?v=xwaGi6lx6Fg","Video Solution - Dr Mostafa Saad")</f>
        <v>Video Solution - Dr Mostafa Saad</v>
      </c>
    </row>
    <row r="103">
      <c r="A103" s="242" t="s">
        <v>649</v>
      </c>
      <c r="B103" s="49" t="str">
        <f>HYPERLINK("http://codeforces.com/contest/490/problem/B","CF490-D2-B")</f>
        <v>CF490-D2-B</v>
      </c>
      <c r="C103" s="185"/>
      <c r="D103" s="185"/>
      <c r="E103" s="185"/>
      <c r="F103" s="185"/>
      <c r="G103" s="185"/>
      <c r="H103" s="186"/>
      <c r="I103" s="81">
        <f t="shared" si="1"/>
        <v>0</v>
      </c>
      <c r="J103" s="117"/>
      <c r="K103" s="116"/>
      <c r="L103" s="50"/>
      <c r="M103" s="249"/>
    </row>
    <row r="104">
      <c r="A104" s="242" t="s">
        <v>650</v>
      </c>
      <c r="B104" s="49" t="str">
        <f>HYPERLINK("http://codeforces.com/contest/610/problem/B","CF610-D2-B")</f>
        <v>CF610-D2-B</v>
      </c>
      <c r="C104" s="185"/>
      <c r="D104" s="185"/>
      <c r="E104" s="185"/>
      <c r="F104" s="185"/>
      <c r="G104" s="185"/>
      <c r="H104" s="186"/>
      <c r="I104" s="81">
        <f t="shared" si="1"/>
        <v>0</v>
      </c>
      <c r="J104" s="117"/>
      <c r="K104" s="116"/>
      <c r="L104" s="50"/>
      <c r="M104" s="249"/>
    </row>
    <row r="105">
      <c r="A105" s="242" t="s">
        <v>651</v>
      </c>
      <c r="B105" s="49" t="str">
        <f>HYPERLINK("http://codeforces.com/contest/222/problem/B","CF222-D2-B")</f>
        <v>CF222-D2-B</v>
      </c>
      <c r="C105" s="185"/>
      <c r="D105" s="185"/>
      <c r="E105" s="185"/>
      <c r="F105" s="185"/>
      <c r="G105" s="185"/>
      <c r="H105" s="186"/>
      <c r="I105" s="81">
        <f t="shared" si="1"/>
        <v>0</v>
      </c>
      <c r="J105" s="117"/>
      <c r="K105" s="116"/>
      <c r="L105" s="50"/>
      <c r="M105" s="249"/>
    </row>
    <row r="106">
      <c r="A106" s="87"/>
      <c r="B106" s="87"/>
      <c r="C106" s="185"/>
      <c r="D106" s="185"/>
      <c r="E106" s="185"/>
      <c r="F106" s="185"/>
      <c r="G106" s="185"/>
      <c r="H106" s="186"/>
      <c r="I106" s="81">
        <f t="shared" si="1"/>
        <v>0</v>
      </c>
      <c r="J106" s="86"/>
      <c r="K106" s="80"/>
      <c r="L106" s="185"/>
      <c r="M106" s="191" t="str">
        <f>HYPERLINK("https://www.youtube.com/watch?v=5zILiqyQ2ts","Watch - Thinking - Incrementally")</f>
        <v>Watch - Thinking - Incrementally</v>
      </c>
    </row>
    <row r="107">
      <c r="A107" s="87"/>
      <c r="B107" s="87"/>
      <c r="C107" s="185"/>
      <c r="D107" s="185"/>
      <c r="E107" s="185"/>
      <c r="F107" s="185"/>
      <c r="G107" s="185"/>
      <c r="H107" s="186"/>
      <c r="I107" s="81">
        <f t="shared" si="1"/>
        <v>0</v>
      </c>
      <c r="J107" s="86"/>
      <c r="K107" s="80"/>
      <c r="L107" s="185"/>
      <c r="M107" s="191" t="str">
        <f>HYPERLINK("https://www.youtube.com/watch?v=9fwHOeebIgc","Watch - Thinking - Problem Domain re-interpretation")</f>
        <v>Watch - Thinking - Problem Domain re-interpretation</v>
      </c>
    </row>
    <row r="108">
      <c r="A108" s="87"/>
      <c r="B108" s="87"/>
      <c r="C108" s="185"/>
      <c r="D108" s="185"/>
      <c r="E108" s="185"/>
      <c r="F108" s="185"/>
      <c r="G108" s="185"/>
      <c r="H108" s="186"/>
      <c r="I108" s="81">
        <f t="shared" si="1"/>
        <v>0</v>
      </c>
      <c r="J108" s="86"/>
      <c r="K108" s="80"/>
      <c r="L108" s="185"/>
      <c r="M108" s="191" t="str">
        <f>HYPERLINK("https://www.youtube.com/watch?v=-5ApOQDhBtU","Watch - Number Theory - Factorization")</f>
        <v>Watch - Number Theory - Factorization</v>
      </c>
    </row>
    <row r="109">
      <c r="A109" s="146" t="s">
        <v>652</v>
      </c>
      <c r="B109" s="210" t="str">
        <f>HYPERLINK("https://uva.onlinejudge.org/index.php?option=com_onlinejudge&amp;Itemid=8&amp;page=show_problem&amp;problem=524","UVA 583")</f>
        <v>UVA 583</v>
      </c>
      <c r="C109" s="185"/>
      <c r="D109" s="185"/>
      <c r="E109" s="185"/>
      <c r="F109" s="185"/>
      <c r="G109" s="185"/>
      <c r="H109" s="186"/>
      <c r="I109" s="81">
        <f t="shared" si="1"/>
        <v>0</v>
      </c>
      <c r="J109" s="86"/>
      <c r="K109" s="80"/>
      <c r="L109" s="185"/>
      <c r="M109" s="87"/>
    </row>
    <row r="110">
      <c r="A110" s="146" t="s">
        <v>653</v>
      </c>
      <c r="B110" s="210" t="str">
        <f>HYPERLINK("https://uva.onlinejudge.org/index.php?option=com_onlinejudge&amp;Itemid=8&amp;page=show_problem&amp;problem=1431","UVA 10490")</f>
        <v>UVA 10490</v>
      </c>
      <c r="C110" s="185"/>
      <c r="D110" s="185"/>
      <c r="E110" s="185"/>
      <c r="F110" s="185"/>
      <c r="G110" s="185"/>
      <c r="H110" s="186"/>
      <c r="I110" s="81">
        <f t="shared" si="1"/>
        <v>0</v>
      </c>
      <c r="J110" s="86"/>
      <c r="K110" s="80"/>
      <c r="L110" s="185"/>
      <c r="M110" s="95" t="str">
        <f>HYPERLINK("https://github.com/MohamedNabil97/CompetitiveProgramming/blob/master/UVA/10490.cpp","Sol to read")</f>
        <v>Sol to read</v>
      </c>
    </row>
    <row r="111">
      <c r="A111" s="146" t="s">
        <v>654</v>
      </c>
      <c r="B111" s="210" t="str">
        <f>HYPERLINK("https://uva.onlinejudge.org/index.php?option=onlinejudge&amp;page=show_problem&amp;problem=1563","UVA 10622")</f>
        <v>UVA 10622</v>
      </c>
      <c r="C111" s="185"/>
      <c r="D111" s="185"/>
      <c r="E111" s="185"/>
      <c r="F111" s="185"/>
      <c r="G111" s="185"/>
      <c r="H111" s="186"/>
      <c r="I111" s="81">
        <f t="shared" si="1"/>
        <v>0</v>
      </c>
      <c r="J111" s="86"/>
      <c r="K111" s="80"/>
      <c r="L111" s="185"/>
      <c r="M111" s="195" t="str">
        <f>HYPERLINK("https://www.youtube.com/watch?v=sRZgiQc5x7U","Video Solution - Eng Moaz Rashad")</f>
        <v>Video Solution - Eng Moaz Rashad</v>
      </c>
    </row>
    <row r="112">
      <c r="A112" s="146" t="s">
        <v>655</v>
      </c>
      <c r="B112" s="210" t="str">
        <f>HYPERLINK("https://uva.onlinejudge.org/index.php?option=com_onlinejudge&amp;Itemid=8&amp;page=show_problem&amp;problem=457","UVA 516")</f>
        <v>UVA 516</v>
      </c>
      <c r="C112" s="185"/>
      <c r="D112" s="185"/>
      <c r="E112" s="185"/>
      <c r="F112" s="185"/>
      <c r="G112" s="185"/>
      <c r="H112" s="186"/>
      <c r="I112" s="81">
        <f t="shared" si="1"/>
        <v>0</v>
      </c>
      <c r="J112" s="86"/>
      <c r="K112" s="80"/>
      <c r="L112" s="185"/>
      <c r="M112" s="218" t="str">
        <f>HYPERLINK("https://algorithmist.com/wiki/UVa_516_-_Prime_Land#_=_","Sol")</f>
        <v>Sol</v>
      </c>
    </row>
    <row r="113">
      <c r="A113" s="196"/>
      <c r="B113" s="196" t="s">
        <v>656</v>
      </c>
      <c r="C113" s="185"/>
      <c r="D113" s="185"/>
      <c r="E113" s="185"/>
      <c r="F113" s="185"/>
      <c r="G113" s="185"/>
      <c r="H113" s="186"/>
      <c r="I113" s="81">
        <f t="shared" si="1"/>
        <v>0</v>
      </c>
      <c r="J113" s="86"/>
      <c r="K113" s="80"/>
      <c r="L113" s="185"/>
      <c r="M113" s="256" t="s">
        <v>625</v>
      </c>
    </row>
    <row r="114">
      <c r="A114" s="196"/>
      <c r="B114" s="196" t="s">
        <v>657</v>
      </c>
      <c r="C114" s="185"/>
      <c r="D114" s="185"/>
      <c r="E114" s="185"/>
      <c r="F114" s="185"/>
      <c r="G114" s="185"/>
      <c r="H114" s="186"/>
      <c r="I114" s="81">
        <f t="shared" si="1"/>
        <v>0</v>
      </c>
      <c r="J114" s="86"/>
      <c r="K114" s="80"/>
      <c r="L114" s="185"/>
      <c r="M114" s="257"/>
    </row>
    <row r="115">
      <c r="A115" s="247" t="s">
        <v>658</v>
      </c>
      <c r="B115" s="258" t="str">
        <f>HYPERLINK("https://uva.onlinejudge.org/index.php?option=com_onlinejudge&amp;Itemid=8&amp;page=show_problem&amp;problem=132","UVA 196")</f>
        <v>UVA 196</v>
      </c>
      <c r="C115" s="185"/>
      <c r="D115" s="185"/>
      <c r="E115" s="185"/>
      <c r="F115" s="185"/>
      <c r="G115" s="185"/>
      <c r="H115" s="186"/>
      <c r="I115" s="81">
        <f t="shared" si="1"/>
        <v>0</v>
      </c>
      <c r="J115" s="117"/>
      <c r="K115" s="116"/>
      <c r="L115" s="50"/>
      <c r="M115" s="259" t="s">
        <v>625</v>
      </c>
    </row>
    <row r="116">
      <c r="A116" s="87"/>
      <c r="B116" s="87"/>
      <c r="C116" s="185"/>
      <c r="D116" s="185"/>
      <c r="E116" s="185"/>
      <c r="F116" s="185"/>
      <c r="G116" s="185"/>
      <c r="H116" s="186"/>
      <c r="I116" s="81">
        <f t="shared" si="1"/>
        <v>0</v>
      </c>
      <c r="J116" s="86"/>
      <c r="K116" s="80"/>
      <c r="L116" s="185"/>
      <c r="M116" s="257"/>
    </row>
    <row r="117">
      <c r="A117" s="192" t="s">
        <v>659</v>
      </c>
      <c r="B117" s="238" t="str">
        <f>HYPERLINK("http://codeforces.com/contest/253/problem/C","CF253-D2-C")</f>
        <v>CF253-D2-C</v>
      </c>
      <c r="C117" s="185"/>
      <c r="D117" s="185"/>
      <c r="E117" s="185"/>
      <c r="F117" s="185"/>
      <c r="G117" s="185"/>
      <c r="H117" s="186"/>
      <c r="I117" s="81">
        <f t="shared" si="1"/>
        <v>0</v>
      </c>
      <c r="J117" s="86"/>
      <c r="K117" s="80"/>
      <c r="L117" s="185"/>
      <c r="M117" s="151"/>
    </row>
    <row r="118">
      <c r="A118" s="192" t="s">
        <v>660</v>
      </c>
      <c r="B118" s="238" t="str">
        <f>HYPERLINK("http://codeforces.com/contest/604/problem/C","CF604-D2-C")</f>
        <v>CF604-D2-C</v>
      </c>
      <c r="C118" s="185"/>
      <c r="D118" s="185"/>
      <c r="E118" s="185"/>
      <c r="F118" s="185"/>
      <c r="G118" s="185"/>
      <c r="H118" s="186"/>
      <c r="I118" s="81">
        <f t="shared" si="1"/>
        <v>0</v>
      </c>
      <c r="J118" s="86"/>
      <c r="K118" s="80"/>
      <c r="L118" s="185"/>
      <c r="M118" s="110"/>
    </row>
    <row r="119">
      <c r="A119" s="192" t="s">
        <v>661</v>
      </c>
      <c r="B119" s="238" t="str">
        <f>HYPERLINK("http://codeforces.com/contest/735/problem/C","CF735-D2-C")</f>
        <v>CF735-D2-C</v>
      </c>
      <c r="C119" s="185"/>
      <c r="D119" s="185"/>
      <c r="E119" s="185"/>
      <c r="F119" s="185"/>
      <c r="G119" s="185"/>
      <c r="H119" s="186"/>
      <c r="I119" s="81">
        <f t="shared" si="1"/>
        <v>0</v>
      </c>
      <c r="J119" s="86"/>
      <c r="K119" s="80"/>
      <c r="L119" s="185"/>
      <c r="M119" s="151"/>
    </row>
    <row r="120">
      <c r="A120" s="192" t="s">
        <v>662</v>
      </c>
      <c r="B120" s="238" t="str">
        <f>HYPERLINK("http://codeforces.com/contest/507/problem/C","CF507-D2-C")</f>
        <v>CF507-D2-C</v>
      </c>
      <c r="C120" s="185"/>
      <c r="D120" s="185"/>
      <c r="E120" s="185"/>
      <c r="F120" s="185"/>
      <c r="G120" s="185"/>
      <c r="H120" s="186"/>
      <c r="I120" s="81">
        <f t="shared" si="1"/>
        <v>0</v>
      </c>
      <c r="J120" s="86"/>
      <c r="K120" s="80"/>
      <c r="L120" s="185"/>
      <c r="M120" s="255" t="str">
        <f>HYPERLINK("https://www.youtube.com/watch?v=1Ki1L9BAJIQ","Video Solution - Dr Mostafa Saad")</f>
        <v>Video Solution - Dr Mostafa Saad</v>
      </c>
    </row>
    <row r="121">
      <c r="A121" s="192" t="s">
        <v>663</v>
      </c>
      <c r="B121" s="238" t="str">
        <f>HYPERLINK("http://codeforces.com/contest/84/problem/C","CF84-D2-C")</f>
        <v>CF84-D2-C</v>
      </c>
      <c r="C121" s="185"/>
      <c r="D121" s="185"/>
      <c r="E121" s="185"/>
      <c r="F121" s="185"/>
      <c r="G121" s="185"/>
      <c r="H121" s="186"/>
      <c r="I121" s="81">
        <f t="shared" si="1"/>
        <v>0</v>
      </c>
      <c r="J121" s="86"/>
      <c r="K121" s="80"/>
      <c r="L121" s="185"/>
      <c r="M121" s="87"/>
    </row>
    <row r="122">
      <c r="A122" s="110" t="s">
        <v>664</v>
      </c>
      <c r="B122" s="152" t="str">
        <f>HYPERLINK("http://codeforces.com/contest/584/problem/C","CF584-D2-C")</f>
        <v>CF584-D2-C</v>
      </c>
      <c r="C122" s="185"/>
      <c r="D122" s="185"/>
      <c r="E122" s="185"/>
      <c r="F122" s="185"/>
      <c r="G122" s="185"/>
      <c r="H122" s="186"/>
      <c r="I122" s="81">
        <f t="shared" si="1"/>
        <v>0</v>
      </c>
      <c r="J122" s="86"/>
      <c r="K122" s="80"/>
      <c r="L122" s="50"/>
      <c r="M122" s="47"/>
    </row>
    <row r="123">
      <c r="A123" s="129" t="s">
        <v>665</v>
      </c>
      <c r="B123" s="260" t="str">
        <f>HYPERLINK("http://codeforces.com/contest/792/problem/C","CF792-D2-C")</f>
        <v>CF792-D2-C</v>
      </c>
      <c r="C123" s="185"/>
      <c r="D123" s="185"/>
      <c r="E123" s="185"/>
      <c r="F123" s="185"/>
      <c r="G123" s="185"/>
      <c r="H123" s="186"/>
      <c r="I123" s="81">
        <f t="shared" si="1"/>
        <v>0</v>
      </c>
      <c r="J123" s="86"/>
      <c r="K123" s="80"/>
      <c r="L123" s="50"/>
      <c r="M123" s="106" t="str">
        <f>HYPERLINK("https://www.youtube.com/watch?v=BgG5sjJslYk","Video Solution - Solver to be (Java)")</f>
        <v>Video Solution - Solver to be (Java)</v>
      </c>
    </row>
    <row r="124">
      <c r="A124" s="242" t="s">
        <v>666</v>
      </c>
      <c r="B124" s="49" t="str">
        <f>HYPERLINK("http://codeforces.com/contest/534/problem/B","CF534-D2-B")</f>
        <v>CF534-D2-B</v>
      </c>
      <c r="C124" s="185"/>
      <c r="D124" s="185"/>
      <c r="E124" s="185"/>
      <c r="F124" s="185"/>
      <c r="G124" s="185"/>
      <c r="H124" s="186"/>
      <c r="I124" s="81">
        <f t="shared" si="1"/>
        <v>0</v>
      </c>
      <c r="J124" s="86"/>
      <c r="K124" s="80"/>
      <c r="L124" s="50"/>
      <c r="M124" s="141"/>
    </row>
    <row r="125">
      <c r="A125" s="242" t="s">
        <v>667</v>
      </c>
      <c r="B125" s="49" t="str">
        <f>HYPERLINK("http://codeforces.com/contest/75/problem/B","CF75-D2-B")</f>
        <v>CF75-D2-B</v>
      </c>
      <c r="C125" s="185"/>
      <c r="D125" s="185"/>
      <c r="E125" s="185"/>
      <c r="F125" s="185"/>
      <c r="G125" s="185"/>
      <c r="H125" s="186"/>
      <c r="I125" s="81">
        <f t="shared" si="1"/>
        <v>0</v>
      </c>
      <c r="J125" s="86"/>
      <c r="K125" s="80"/>
      <c r="L125" s="50"/>
      <c r="M125" s="141"/>
    </row>
    <row r="126">
      <c r="A126" s="242" t="s">
        <v>668</v>
      </c>
      <c r="B126" s="261" t="str">
        <f>HYPERLINK("http://codeforces.com/contest/979/problem/B","CF979-D2-B")</f>
        <v>CF979-D2-B</v>
      </c>
      <c r="C126" s="50"/>
      <c r="D126" s="50"/>
      <c r="E126" s="50"/>
      <c r="F126" s="50"/>
      <c r="G126" s="50"/>
      <c r="H126" s="50"/>
      <c r="I126" s="186">
        <f t="shared" si="1"/>
        <v>0</v>
      </c>
      <c r="J126" s="47"/>
      <c r="K126" s="50"/>
      <c r="L126" s="50"/>
      <c r="M126" s="47"/>
    </row>
    <row r="127">
      <c r="A127" s="192"/>
      <c r="B127" s="87"/>
      <c r="C127" s="185"/>
      <c r="D127" s="185"/>
      <c r="E127" s="185"/>
      <c r="F127" s="185"/>
      <c r="G127" s="185"/>
      <c r="H127" s="186"/>
      <c r="I127" s="81">
        <f t="shared" si="1"/>
        <v>0</v>
      </c>
      <c r="J127" s="86"/>
      <c r="K127" s="80"/>
      <c r="L127" s="185"/>
      <c r="M127" s="87"/>
    </row>
    <row r="128">
      <c r="A128" s="196" t="s">
        <v>669</v>
      </c>
      <c r="B128" s="197" t="str">
        <f>HYPERLINK("https://uva.onlinejudge.org/index.php?option=onlinejudge&amp;page=show_problem&amp;problem=1731","UVA 10790")</f>
        <v>UVA 10790</v>
      </c>
      <c r="C128" s="185"/>
      <c r="D128" s="185"/>
      <c r="E128" s="185"/>
      <c r="F128" s="185"/>
      <c r="G128" s="185"/>
      <c r="H128" s="186"/>
      <c r="I128" s="81">
        <f t="shared" si="1"/>
        <v>0</v>
      </c>
      <c r="J128" s="86"/>
      <c r="K128" s="80"/>
      <c r="L128" s="185"/>
      <c r="M128" s="238" t="str">
        <f>HYPERLINK("https://github.com/MeGaCrazy/CompetitiveProgramming/blob/5b920a5ddab614e30ea12e7e3a7da12267a203ec/UVA/UVA_10790.cpp","Sol")</f>
        <v>Sol</v>
      </c>
    </row>
    <row r="129">
      <c r="A129" s="196" t="s">
        <v>670</v>
      </c>
      <c r="B129" s="197" t="str">
        <f>HYPERLINK("https://uva.onlinejudge.org/index.php?option=onlinejudge&amp;Itemid=8&amp;page=show_problem&amp;problem=1080","UVA 10139")</f>
        <v>UVA 10139</v>
      </c>
      <c r="C129" s="185"/>
      <c r="D129" s="185"/>
      <c r="E129" s="185"/>
      <c r="F129" s="185"/>
      <c r="G129" s="185"/>
      <c r="H129" s="186"/>
      <c r="I129" s="81">
        <f t="shared" si="1"/>
        <v>0</v>
      </c>
      <c r="J129" s="86"/>
      <c r="K129" s="80"/>
      <c r="L129" s="185"/>
      <c r="M129" s="253" t="s">
        <v>625</v>
      </c>
    </row>
    <row r="130">
      <c r="A130" s="196" t="s">
        <v>671</v>
      </c>
      <c r="B130" s="197" t="str">
        <f>HYPERLINK("https://uva.onlinejudge.org/index.php?option=com_onlinejudge&amp;Itemid=8&amp;page=show_problem&amp;problem=1917","UVA 10976")</f>
        <v>UVA 10976</v>
      </c>
      <c r="C130" s="185"/>
      <c r="D130" s="185"/>
      <c r="E130" s="185"/>
      <c r="F130" s="185"/>
      <c r="G130" s="185"/>
      <c r="H130" s="186"/>
      <c r="I130" s="81">
        <f t="shared" si="1"/>
        <v>0</v>
      </c>
      <c r="J130" s="86"/>
      <c r="K130" s="80"/>
      <c r="L130" s="185"/>
      <c r="M130" s="95" t="str">
        <f>HYPERLINK("https://github.com/magdy-hasan/competitive-programming/blob/master/uva-/uva%2010976%20-%20Fractions%20Again!.cpp","Sol")</f>
        <v>Sol</v>
      </c>
    </row>
    <row r="131">
      <c r="A131" s="196" t="s">
        <v>672</v>
      </c>
      <c r="B131" s="197" t="str">
        <f>HYPERLINK("http://codeforces.com/contest/189/problem/A","CF189-D2-A")</f>
        <v>CF189-D2-A</v>
      </c>
      <c r="C131" s="185"/>
      <c r="D131" s="185"/>
      <c r="E131" s="185"/>
      <c r="F131" s="185"/>
      <c r="G131" s="185"/>
      <c r="H131" s="186"/>
      <c r="I131" s="81">
        <f t="shared" si="1"/>
        <v>0</v>
      </c>
      <c r="J131" s="86"/>
      <c r="K131" s="80"/>
      <c r="L131" s="50"/>
      <c r="M131" s="106" t="str">
        <f>HYPERLINK("https://www.youtube.com/watch?v=4VBt8sKocyw","Video Solution - Solver to be (Java)")</f>
        <v>Video Solution - Solver to be (Java)</v>
      </c>
    </row>
    <row r="132">
      <c r="A132" s="87"/>
      <c r="B132" s="87"/>
      <c r="C132" s="185"/>
      <c r="D132" s="185"/>
      <c r="E132" s="185"/>
      <c r="F132" s="185"/>
      <c r="G132" s="185"/>
      <c r="H132" s="186"/>
      <c r="I132" s="81">
        <f t="shared" si="1"/>
        <v>0</v>
      </c>
      <c r="J132" s="86"/>
      <c r="K132" s="80"/>
      <c r="L132" s="185"/>
      <c r="M132" s="87"/>
    </row>
    <row r="133">
      <c r="C133" s="185"/>
      <c r="D133" s="185"/>
      <c r="E133" s="185"/>
      <c r="F133" s="185"/>
      <c r="G133" s="185"/>
      <c r="H133" s="186"/>
      <c r="I133" s="81">
        <f t="shared" si="1"/>
        <v>0</v>
      </c>
      <c r="J133" s="86"/>
      <c r="K133" s="80"/>
      <c r="L133" s="185"/>
      <c r="M133" s="262" t="str">
        <f>HYPERLINK("https://www.youtube.com/playlist?list=PLC58778F28211FA19","Watch - Probability - First 9 videos")</f>
        <v>Watch - Probability - First 9 videos</v>
      </c>
    </row>
    <row r="134">
      <c r="A134" s="148" t="s">
        <v>673</v>
      </c>
      <c r="B134" s="263" t="str">
        <f>HYPERLINK("https://uva.onlinejudge.org/index.php?option=onlinejudge&amp;page=show_problem&amp;problem=1432","UVA 10491")</f>
        <v>UVA 10491</v>
      </c>
      <c r="C134" s="185"/>
      <c r="D134" s="185"/>
      <c r="E134" s="185"/>
      <c r="F134" s="185"/>
      <c r="G134" s="185"/>
      <c r="H134" s="186"/>
      <c r="I134" s="81">
        <f t="shared" si="1"/>
        <v>0</v>
      </c>
      <c r="J134" s="86"/>
      <c r="K134" s="80"/>
      <c r="L134" s="185"/>
      <c r="M134" s="238" t="str">
        <f>HYPERLINK("https://www.probabilitycourse.com/","Revise Probability")</f>
        <v>Revise Probability</v>
      </c>
    </row>
    <row r="135">
      <c r="A135" s="148" t="s">
        <v>674</v>
      </c>
      <c r="B135" s="263" t="str">
        <f>HYPERLINK("https://uva.onlinejudge.org/index.php?option=com_onlinejudge&amp;Itemid=8&amp;page=show_problem&amp;problem=997","UVA 10056")</f>
        <v>UVA 10056</v>
      </c>
      <c r="C135" s="185"/>
      <c r="D135" s="185"/>
      <c r="E135" s="185"/>
      <c r="F135" s="185"/>
      <c r="G135" s="185"/>
      <c r="H135" s="186"/>
      <c r="I135" s="81">
        <f t="shared" si="1"/>
        <v>0</v>
      </c>
      <c r="J135" s="86"/>
      <c r="K135" s="80"/>
      <c r="L135" s="185"/>
      <c r="M135" s="238" t="str">
        <f>HYPERLINK("https://github.com/mostafa-saad/MyCompetitiveProgramming/blob/master/UVA/UVA_10056.txt","Sol")</f>
        <v>Sol</v>
      </c>
    </row>
    <row r="136">
      <c r="A136" s="148" t="s">
        <v>675</v>
      </c>
      <c r="B136" s="263" t="str">
        <f>HYPERLINK("https://uva.onlinejudge.org/index.php?option=com_onlinejudge&amp;Itemid=8&amp;page=show_problem&amp;problem=1159","UVA 10218")</f>
        <v>UVA 10218</v>
      </c>
      <c r="C136" s="185"/>
      <c r="D136" s="185"/>
      <c r="E136" s="185"/>
      <c r="F136" s="185"/>
      <c r="G136" s="185"/>
      <c r="H136" s="186"/>
      <c r="I136" s="81">
        <f t="shared" si="1"/>
        <v>0</v>
      </c>
      <c r="J136" s="86"/>
      <c r="K136" s="80"/>
      <c r="L136" s="185"/>
      <c r="M136" s="264" t="str">
        <f>HYPERLINK("https://github.com/mostafa-saad/MyCompetitiveProgramming/blob/master/UVA/UVA_10218.txt","Sol")</f>
        <v>Sol</v>
      </c>
    </row>
    <row r="137">
      <c r="A137" s="148" t="s">
        <v>676</v>
      </c>
      <c r="B137" s="263" t="str">
        <f>HYPERLINK("https://uva.onlinejudge.org/index.php?option=com_onlinejudge&amp;Itemid=8&amp;page=show_problem&amp;problem=2122","UVA 11181")</f>
        <v>UVA 11181</v>
      </c>
      <c r="C137" s="185"/>
      <c r="D137" s="185"/>
      <c r="E137" s="185"/>
      <c r="F137" s="185"/>
      <c r="G137" s="185"/>
      <c r="H137" s="186"/>
      <c r="I137" s="81">
        <f t="shared" si="1"/>
        <v>0</v>
      </c>
      <c r="J137" s="86"/>
      <c r="K137" s="80"/>
      <c r="L137" s="185"/>
      <c r="M137" s="238" t="str">
        <f>HYPERLINK("https://github.com/MohamedNabil97/CompetitiveProgramming/blob/master/UVA/1181.cpp","Sol")</f>
        <v>Sol</v>
      </c>
    </row>
    <row r="138">
      <c r="A138" s="148" t="s">
        <v>677</v>
      </c>
      <c r="B138" s="263" t="str">
        <f>HYPERLINK("https://uva.onlinejudge.org/index.php?option=com_onlinejudge&amp;Itemid=8&amp;page=show_problem&amp;problem=2675","UVA 11628")</f>
        <v>UVA 11628</v>
      </c>
      <c r="C138" s="185"/>
      <c r="D138" s="185"/>
      <c r="E138" s="185"/>
      <c r="F138" s="185"/>
      <c r="G138" s="185"/>
      <c r="H138" s="186"/>
      <c r="I138" s="81">
        <f t="shared" si="1"/>
        <v>0</v>
      </c>
      <c r="J138" s="86"/>
      <c r="K138" s="80"/>
      <c r="L138" s="185"/>
      <c r="M138" s="238" t="str">
        <f>HYPERLINK("https://github.com/mostafa-saad/MyCompetitiveProgramming/blob/master/UVA/UVA_11628.txt","Sol")</f>
        <v>Sol</v>
      </c>
    </row>
    <row r="139">
      <c r="A139" s="148" t="s">
        <v>678</v>
      </c>
      <c r="B139" s="263" t="str">
        <f>HYPERLINK("https://uva.onlinejudge.org/index.php?option=com_onlinejudge&amp;Itemid=8&amp;page=show_problem&amp;problem=3904","UVA 12461")</f>
        <v>UVA 12461</v>
      </c>
      <c r="C139" s="185"/>
      <c r="D139" s="185"/>
      <c r="E139" s="185"/>
      <c r="F139" s="185"/>
      <c r="G139" s="185"/>
      <c r="H139" s="186"/>
      <c r="I139" s="81">
        <f t="shared" si="1"/>
        <v>0</v>
      </c>
      <c r="J139" s="86"/>
      <c r="K139" s="80"/>
      <c r="L139" s="185"/>
      <c r="M139" s="265" t="str">
        <f>HYPERLINK("https://github.com/VAMPIER000001/CompetitiveProgramming/blob/master/UVA/V-124/UVA%2012461.Cpp","Sol")</f>
        <v>Sol</v>
      </c>
    </row>
    <row r="140">
      <c r="A140" s="196"/>
      <c r="B140" s="197" t="str">
        <f>HYPERLINK("https://www.hackerrank.com/contests/infinitum18/challenges/tower-3-coloring","HACKR tower-3-coloring")</f>
        <v>HACKR tower-3-coloring</v>
      </c>
      <c r="C140" s="185"/>
      <c r="D140" s="185"/>
      <c r="E140" s="185"/>
      <c r="F140" s="185"/>
      <c r="G140" s="185"/>
      <c r="H140" s="186"/>
      <c r="I140" s="81">
        <f t="shared" si="1"/>
        <v>0</v>
      </c>
      <c r="J140" s="86"/>
      <c r="K140" s="80"/>
      <c r="L140" s="185"/>
      <c r="M140" s="219" t="str">
        <f>HYPERLINK("https://en.wikipedia.org/wiki/Fermat%27s_little_theorem","Learn  Fermat's little theorem")</f>
        <v>Learn  Fermat's little theorem</v>
      </c>
    </row>
    <row r="141">
      <c r="A141" s="196"/>
      <c r="B141" s="197" t="str">
        <f>HYPERLINK("http://codeforces.com/contest/445/problem/C","CF445-D2-C")</f>
        <v>CF445-D2-C</v>
      </c>
      <c r="C141" s="185"/>
      <c r="D141" s="185"/>
      <c r="E141" s="185"/>
      <c r="F141" s="185"/>
      <c r="G141" s="185"/>
      <c r="H141" s="186"/>
      <c r="I141" s="81">
        <f t="shared" si="1"/>
        <v>0</v>
      </c>
      <c r="J141" s="86"/>
      <c r="K141" s="80"/>
      <c r="L141" s="185"/>
      <c r="M141" s="266"/>
    </row>
    <row r="142">
      <c r="A142" s="196"/>
      <c r="B142" s="197" t="str">
        <f>HYPERLINK("https://www.hackerrank.com/challenges/a-circle-and-a-square","HACKR a-circle-and-a-square")</f>
        <v>HACKR a-circle-and-a-square</v>
      </c>
      <c r="C142" s="185"/>
      <c r="D142" s="185"/>
      <c r="E142" s="185"/>
      <c r="F142" s="185"/>
      <c r="G142" s="185"/>
      <c r="H142" s="186"/>
      <c r="I142" s="81">
        <f t="shared" si="1"/>
        <v>0</v>
      </c>
      <c r="J142" s="86"/>
      <c r="K142" s="80"/>
      <c r="L142" s="185"/>
      <c r="M142" s="266"/>
    </row>
    <row r="143">
      <c r="A143" s="196"/>
      <c r="B143" s="241" t="s">
        <v>679</v>
      </c>
      <c r="C143" s="185"/>
      <c r="D143" s="185"/>
      <c r="E143" s="185"/>
      <c r="F143" s="185"/>
      <c r="G143" s="185"/>
      <c r="H143" s="186"/>
      <c r="I143" s="81">
        <f t="shared" si="1"/>
        <v>0</v>
      </c>
      <c r="J143" s="86"/>
      <c r="K143" s="80"/>
      <c r="L143" s="185"/>
      <c r="M143" s="238" t="str">
        <f>HYPERLINK("https://www.geeksforgeeks.org/0-1-bfs-shortest-path-binary-graph/","Learn 0/1 BFS")</f>
        <v>Learn 0/1 BFS</v>
      </c>
    </row>
    <row r="144">
      <c r="A144" s="196" t="s">
        <v>680</v>
      </c>
      <c r="B144" s="197" t="str">
        <f>HYPERLINK("https://uva.onlinejudge.org/index.php?option=com_onlinejudge&amp;Itemid=8&amp;page=show_problem&amp;problem=3415","UVA 12263")</f>
        <v>UVA 12263</v>
      </c>
      <c r="C144" s="50"/>
      <c r="D144" s="50"/>
      <c r="E144" s="50"/>
      <c r="F144" s="50"/>
      <c r="G144" s="50"/>
      <c r="H144" s="50"/>
      <c r="I144" s="127">
        <f t="shared" si="1"/>
        <v>0</v>
      </c>
      <c r="J144" s="47"/>
      <c r="K144" s="50"/>
      <c r="L144" s="50"/>
      <c r="M144" s="128" t="str">
        <f>HYPERLINK("https://github.com/mostafa-saad/MyCompetitiveProgramming/blob/master/UVA/UVA_12263.txt","Sol")</f>
        <v>Sol</v>
      </c>
    </row>
    <row r="145">
      <c r="C145" s="185"/>
      <c r="D145" s="185"/>
      <c r="E145" s="185"/>
      <c r="F145" s="185"/>
      <c r="G145" s="185"/>
      <c r="H145" s="186"/>
      <c r="I145" s="81">
        <f t="shared" si="1"/>
        <v>0</v>
      </c>
      <c r="J145" s="86"/>
      <c r="K145" s="80"/>
      <c r="L145" s="185"/>
      <c r="M145" s="266"/>
    </row>
    <row r="146">
      <c r="A146" s="192" t="s">
        <v>681</v>
      </c>
      <c r="B146" s="218" t="str">
        <f>HYPERLINK("http://codeforces.com/contest/822/problem/C","CF822-D2-C")</f>
        <v>CF822-D2-C</v>
      </c>
      <c r="C146" s="185"/>
      <c r="D146" s="185"/>
      <c r="E146" s="185"/>
      <c r="F146" s="185"/>
      <c r="G146" s="185"/>
      <c r="H146" s="186"/>
      <c r="I146" s="81">
        <f t="shared" si="1"/>
        <v>0</v>
      </c>
      <c r="J146" s="86"/>
      <c r="K146" s="80"/>
      <c r="L146" s="185"/>
      <c r="M146" s="106" t="str">
        <f>HYPERLINK("https://www.youtube.com/watch?v=VvR9spazigA","Video Solution - Solver to be (Java)")</f>
        <v>Video Solution - Solver to be (Java)</v>
      </c>
    </row>
    <row r="147">
      <c r="A147" s="192" t="s">
        <v>682</v>
      </c>
      <c r="B147" s="218" t="str">
        <f>HYPERLINK("http://codeforces.com/contest/834/problem/C","CF834-D2-C")</f>
        <v>CF834-D2-C</v>
      </c>
      <c r="C147" s="185"/>
      <c r="D147" s="185"/>
      <c r="E147" s="185"/>
      <c r="F147" s="185"/>
      <c r="G147" s="185"/>
      <c r="H147" s="186"/>
      <c r="I147" s="81">
        <f t="shared" si="1"/>
        <v>0</v>
      </c>
      <c r="J147" s="86"/>
      <c r="K147" s="80"/>
      <c r="L147" s="185"/>
      <c r="M147" s="106" t="str">
        <f>HYPERLINK("https://www.youtube.com/watch?v=tge-NMPdndc","Video Solution - Solver to be (Java)")</f>
        <v>Video Solution - Solver to be (Java)</v>
      </c>
    </row>
    <row r="148">
      <c r="A148" s="192" t="s">
        <v>683</v>
      </c>
      <c r="B148" s="218" t="str">
        <f>HYPERLINK("http://codeforces.com/contest/835/problem/C","CF835-D2-C")</f>
        <v>CF835-D2-C</v>
      </c>
      <c r="C148" s="185"/>
      <c r="D148" s="185"/>
      <c r="E148" s="185"/>
      <c r="F148" s="185"/>
      <c r="G148" s="185"/>
      <c r="H148" s="186"/>
      <c r="I148" s="81">
        <f t="shared" si="1"/>
        <v>0</v>
      </c>
      <c r="J148" s="86"/>
      <c r="K148" s="80"/>
      <c r="L148" s="185"/>
      <c r="M148" s="106" t="str">
        <f>HYPERLINK("https://www.youtube.com/watch?v=McKM0CgVLUM","Video Solution - Solver to be (Java)")</f>
        <v>Video Solution - Solver to be (Java)</v>
      </c>
    </row>
    <row r="149">
      <c r="A149" s="227"/>
      <c r="B149" s="227"/>
      <c r="C149" s="229"/>
      <c r="D149" s="229"/>
      <c r="E149" s="229"/>
      <c r="F149" s="229"/>
      <c r="G149" s="229"/>
      <c r="H149" s="230"/>
      <c r="I149" s="230">
        <f t="shared" ref="I149:I151" si="2">SUM(E149:G149)</f>
        <v>0</v>
      </c>
      <c r="J149" s="229"/>
      <c r="K149" s="229"/>
      <c r="L149" s="229"/>
      <c r="M149" s="227"/>
    </row>
    <row r="150">
      <c r="A150" s="151"/>
      <c r="B150" s="151"/>
      <c r="C150" s="120"/>
      <c r="D150" s="231" t="s">
        <v>271</v>
      </c>
      <c r="H150" s="186"/>
      <c r="I150" s="186">
        <f t="shared" si="2"/>
        <v>0</v>
      </c>
      <c r="J150" s="179" t="s">
        <v>272</v>
      </c>
    </row>
    <row r="151">
      <c r="A151" s="227"/>
      <c r="B151" s="227"/>
      <c r="C151" s="229"/>
      <c r="D151" s="229"/>
      <c r="E151" s="229"/>
      <c r="F151" s="229"/>
      <c r="G151" s="229"/>
      <c r="H151" s="230"/>
      <c r="I151" s="230">
        <f t="shared" si="2"/>
        <v>0</v>
      </c>
      <c r="J151" s="229"/>
      <c r="K151" s="229"/>
      <c r="L151" s="229"/>
      <c r="M151" s="227"/>
    </row>
    <row r="152">
      <c r="A152" s="192" t="s">
        <v>684</v>
      </c>
      <c r="B152" s="238" t="str">
        <f>HYPERLINK("http://codeforces.com/contest/483/problem/C","CF483-D2-C")</f>
        <v>CF483-D2-C</v>
      </c>
      <c r="C152" s="185"/>
      <c r="D152" s="185"/>
      <c r="E152" s="185"/>
      <c r="F152" s="185"/>
      <c r="G152" s="185"/>
      <c r="H152" s="186"/>
      <c r="I152" s="81">
        <f t="shared" ref="I152:I200" si="3">SUM(E152:H152)</f>
        <v>0</v>
      </c>
      <c r="J152" s="86"/>
      <c r="K152" s="80"/>
      <c r="L152" s="185"/>
      <c r="M152" s="151"/>
    </row>
    <row r="153">
      <c r="A153" s="192" t="s">
        <v>685</v>
      </c>
      <c r="B153" s="238" t="str">
        <f>HYPERLINK("http://codeforces.com/contest/136/problem/C","CF136-D2-C")</f>
        <v>CF136-D2-C</v>
      </c>
      <c r="C153" s="185"/>
      <c r="D153" s="185"/>
      <c r="E153" s="185"/>
      <c r="F153" s="185"/>
      <c r="G153" s="185"/>
      <c r="H153" s="186"/>
      <c r="I153" s="81">
        <f t="shared" si="3"/>
        <v>0</v>
      </c>
      <c r="J153" s="86"/>
      <c r="K153" s="80"/>
      <c r="L153" s="185"/>
      <c r="M153" s="151"/>
    </row>
    <row r="154">
      <c r="A154" s="192" t="s">
        <v>686</v>
      </c>
      <c r="B154" s="238" t="str">
        <f>HYPERLINK("http://codeforces.com/contest/102/problem/C","CF102-D2-C")</f>
        <v>CF102-D2-C</v>
      </c>
      <c r="C154" s="185"/>
      <c r="D154" s="185"/>
      <c r="E154" s="185"/>
      <c r="F154" s="185"/>
      <c r="G154" s="185"/>
      <c r="H154" s="186"/>
      <c r="I154" s="81">
        <f t="shared" si="3"/>
        <v>0</v>
      </c>
      <c r="J154" s="86"/>
      <c r="K154" s="80"/>
      <c r="L154" s="185"/>
      <c r="M154" s="151"/>
    </row>
    <row r="155">
      <c r="A155" s="192" t="s">
        <v>687</v>
      </c>
      <c r="B155" s="238" t="str">
        <f>HYPERLINK("http://codeforces.com/contest/221/problem/C","CF221-D2-C")</f>
        <v>CF221-D2-C</v>
      </c>
      <c r="C155" s="185"/>
      <c r="D155" s="185"/>
      <c r="E155" s="185"/>
      <c r="F155" s="185"/>
      <c r="G155" s="185"/>
      <c r="H155" s="186"/>
      <c r="I155" s="81">
        <f t="shared" si="3"/>
        <v>0</v>
      </c>
      <c r="J155" s="86"/>
      <c r="K155" s="80"/>
      <c r="L155" s="185"/>
      <c r="M155" s="151"/>
    </row>
    <row r="156">
      <c r="A156" s="192" t="s">
        <v>688</v>
      </c>
      <c r="B156" s="238" t="str">
        <f>HYPERLINK("http://codeforces.com/contest/581/problem/C","CF581-D2-C")</f>
        <v>CF581-D2-C</v>
      </c>
      <c r="C156" s="185"/>
      <c r="D156" s="185"/>
      <c r="E156" s="185"/>
      <c r="F156" s="185"/>
      <c r="G156" s="185"/>
      <c r="H156" s="186"/>
      <c r="I156" s="81">
        <f t="shared" si="3"/>
        <v>0</v>
      </c>
      <c r="J156" s="86"/>
      <c r="K156" s="80"/>
      <c r="L156" s="185"/>
      <c r="M156" s="151"/>
    </row>
    <row r="157">
      <c r="A157" s="192" t="s">
        <v>689</v>
      </c>
      <c r="B157" s="238" t="str">
        <f>HYPERLINK("http://codeforces.com/contest/262/problem/C","CF262-D2-C")</f>
        <v>CF262-D2-C</v>
      </c>
      <c r="C157" s="185"/>
      <c r="D157" s="185"/>
      <c r="E157" s="185"/>
      <c r="F157" s="185"/>
      <c r="G157" s="185"/>
      <c r="H157" s="186"/>
      <c r="I157" s="81">
        <f t="shared" si="3"/>
        <v>0</v>
      </c>
      <c r="J157" s="86"/>
      <c r="K157" s="80"/>
      <c r="L157" s="185"/>
      <c r="M157" s="151"/>
    </row>
    <row r="158">
      <c r="A158" s="192" t="s">
        <v>690</v>
      </c>
      <c r="B158" s="238" t="str">
        <f>HYPERLINK("http://codeforces.com/contest/389/problem/C","CF389-D2-C")</f>
        <v>CF389-D2-C</v>
      </c>
      <c r="C158" s="185"/>
      <c r="D158" s="185"/>
      <c r="E158" s="185"/>
      <c r="F158" s="185"/>
      <c r="G158" s="185"/>
      <c r="H158" s="186"/>
      <c r="I158" s="81">
        <f t="shared" si="3"/>
        <v>0</v>
      </c>
      <c r="J158" s="86"/>
      <c r="K158" s="80"/>
      <c r="L158" s="185"/>
      <c r="M158" s="151"/>
    </row>
    <row r="159">
      <c r="A159" s="192" t="s">
        <v>691</v>
      </c>
      <c r="B159" s="238" t="str">
        <f>HYPERLINK("http://codeforces.com/contest/218/problem/C","CF218-D2-C")</f>
        <v>CF218-D2-C</v>
      </c>
      <c r="C159" s="185"/>
      <c r="D159" s="185"/>
      <c r="E159" s="185"/>
      <c r="F159" s="185"/>
      <c r="G159" s="185"/>
      <c r="H159" s="186"/>
      <c r="I159" s="81">
        <f t="shared" si="3"/>
        <v>0</v>
      </c>
      <c r="J159" s="86"/>
      <c r="K159" s="80"/>
      <c r="L159" s="185"/>
      <c r="M159" s="151"/>
    </row>
    <row r="160">
      <c r="A160" s="192" t="s">
        <v>692</v>
      </c>
      <c r="B160" s="238" t="str">
        <f>HYPERLINK("http://codeforces.com/contest/441/problem/C","CF441-D2-C")</f>
        <v>CF441-D2-C</v>
      </c>
      <c r="C160" s="185"/>
      <c r="D160" s="185"/>
      <c r="E160" s="185"/>
      <c r="F160" s="185"/>
      <c r="G160" s="185"/>
      <c r="H160" s="186"/>
      <c r="I160" s="81">
        <f t="shared" si="3"/>
        <v>0</v>
      </c>
      <c r="J160" s="86"/>
      <c r="K160" s="80"/>
      <c r="L160" s="185"/>
      <c r="M160" s="151"/>
    </row>
    <row r="161">
      <c r="A161" s="192" t="s">
        <v>693</v>
      </c>
      <c r="B161" s="238" t="str">
        <f>HYPERLINK("http://codeforces.com/contest/271/problem/C","CF271-D2-C")</f>
        <v>CF271-D2-C</v>
      </c>
      <c r="C161" s="185"/>
      <c r="D161" s="185"/>
      <c r="E161" s="185"/>
      <c r="F161" s="185"/>
      <c r="G161" s="185"/>
      <c r="H161" s="186"/>
      <c r="I161" s="81">
        <f t="shared" si="3"/>
        <v>0</v>
      </c>
      <c r="J161" s="86"/>
      <c r="K161" s="80"/>
      <c r="L161" s="185"/>
      <c r="M161" s="151"/>
    </row>
    <row r="162">
      <c r="A162" s="192" t="s">
        <v>694</v>
      </c>
      <c r="B162" s="264" t="str">
        <f>HYPERLINK("http://www.spoj.com/problems/CERC07K/","SPOJ CERC07K")</f>
        <v>SPOJ CERC07K</v>
      </c>
      <c r="C162" s="50"/>
      <c r="D162" s="50"/>
      <c r="E162" s="50"/>
      <c r="F162" s="50"/>
      <c r="G162" s="50"/>
      <c r="H162" s="50"/>
      <c r="I162" s="127">
        <f t="shared" si="3"/>
        <v>0</v>
      </c>
      <c r="J162" s="47"/>
      <c r="K162" s="50"/>
      <c r="L162" s="50"/>
      <c r="M162" s="47"/>
    </row>
    <row r="163">
      <c r="A163" s="192" t="s">
        <v>695</v>
      </c>
      <c r="B163" s="264" t="str">
        <f>HYPERLINK("http://www.spoj.com/problems/CLEANRBT/","SPOJ CLEANRBT")</f>
        <v>SPOJ CLEANRBT</v>
      </c>
      <c r="C163" s="50"/>
      <c r="D163" s="50"/>
      <c r="E163" s="50"/>
      <c r="F163" s="50"/>
      <c r="G163" s="50"/>
      <c r="H163" s="50"/>
      <c r="I163" s="127">
        <f t="shared" si="3"/>
        <v>0</v>
      </c>
      <c r="J163" s="47"/>
      <c r="K163" s="50"/>
      <c r="L163" s="50"/>
      <c r="M163" s="47"/>
    </row>
    <row r="164">
      <c r="A164" s="192"/>
      <c r="B164" s="87"/>
      <c r="C164" s="185"/>
      <c r="D164" s="185"/>
      <c r="E164" s="185"/>
      <c r="F164" s="185"/>
      <c r="G164" s="185"/>
      <c r="H164" s="186"/>
      <c r="I164" s="81">
        <f t="shared" si="3"/>
        <v>0</v>
      </c>
      <c r="J164" s="86"/>
      <c r="K164" s="80"/>
      <c r="L164" s="185"/>
      <c r="M164" s="151"/>
    </row>
    <row r="165">
      <c r="A165" s="192" t="s">
        <v>696</v>
      </c>
      <c r="B165" s="238" t="str">
        <f>HYPERLINK("http://codeforces.com/contest/701/problem/C","CF701-D2-C")</f>
        <v>CF701-D2-C</v>
      </c>
      <c r="C165" s="185"/>
      <c r="D165" s="185"/>
      <c r="E165" s="185"/>
      <c r="F165" s="185"/>
      <c r="G165" s="185"/>
      <c r="H165" s="186"/>
      <c r="I165" s="81">
        <f t="shared" si="3"/>
        <v>0</v>
      </c>
      <c r="J165" s="86"/>
      <c r="K165" s="80"/>
      <c r="L165" s="185"/>
      <c r="M165" s="151"/>
    </row>
    <row r="166">
      <c r="A166" s="192" t="s">
        <v>697</v>
      </c>
      <c r="B166" s="238" t="str">
        <f>HYPERLINK("http://codeforces.com/contest/16/problem/C","CF16-D2-C")</f>
        <v>CF16-D2-C</v>
      </c>
      <c r="C166" s="185"/>
      <c r="D166" s="185"/>
      <c r="E166" s="185"/>
      <c r="F166" s="185"/>
      <c r="G166" s="185"/>
      <c r="H166" s="186"/>
      <c r="I166" s="81">
        <f t="shared" si="3"/>
        <v>0</v>
      </c>
      <c r="J166" s="86"/>
      <c r="K166" s="80"/>
      <c r="L166" s="185"/>
      <c r="M166" s="151"/>
    </row>
    <row r="167">
      <c r="A167" s="192" t="s">
        <v>698</v>
      </c>
      <c r="B167" s="238" t="str">
        <f>HYPERLINK("http://codeforces.com/contest/22/problem/C","CF22-D2-C")</f>
        <v>CF22-D2-C</v>
      </c>
      <c r="C167" s="185"/>
      <c r="D167" s="185"/>
      <c r="E167" s="185"/>
      <c r="F167" s="185"/>
      <c r="G167" s="185"/>
      <c r="H167" s="186"/>
      <c r="I167" s="81">
        <f t="shared" si="3"/>
        <v>0</v>
      </c>
      <c r="J167" s="86"/>
      <c r="K167" s="80"/>
      <c r="L167" s="185"/>
      <c r="M167" s="151"/>
    </row>
    <row r="168">
      <c r="A168" s="192" t="s">
        <v>699</v>
      </c>
      <c r="B168" s="238" t="str">
        <f>HYPERLINK("http://codeforces.com/contest/122/problem/C","CF122-D2-C")</f>
        <v>CF122-D2-C</v>
      </c>
      <c r="C168" s="185"/>
      <c r="D168" s="185"/>
      <c r="E168" s="185"/>
      <c r="F168" s="185"/>
      <c r="G168" s="185"/>
      <c r="H168" s="186"/>
      <c r="I168" s="81">
        <f t="shared" si="3"/>
        <v>0</v>
      </c>
      <c r="J168" s="86"/>
      <c r="K168" s="80"/>
      <c r="L168" s="185"/>
      <c r="M168" s="151"/>
    </row>
    <row r="169">
      <c r="A169" s="192" t="s">
        <v>700</v>
      </c>
      <c r="B169" s="238" t="str">
        <f>HYPERLINK("http://codeforces.com/contest/688/problem/C","CF688-D2-C")</f>
        <v>CF688-D2-C</v>
      </c>
      <c r="C169" s="185"/>
      <c r="D169" s="185"/>
      <c r="E169" s="185"/>
      <c r="F169" s="185"/>
      <c r="G169" s="185"/>
      <c r="H169" s="186"/>
      <c r="I169" s="81">
        <f t="shared" si="3"/>
        <v>0</v>
      </c>
      <c r="J169" s="86"/>
      <c r="K169" s="80"/>
      <c r="L169" s="185"/>
      <c r="M169" s="151"/>
    </row>
    <row r="170">
      <c r="A170" s="192" t="s">
        <v>701</v>
      </c>
      <c r="B170" s="238" t="str">
        <f>HYPERLINK("http://codeforces.com/contest/743/problem/C","CF743-D2-C")</f>
        <v>CF743-D2-C</v>
      </c>
      <c r="C170" s="185"/>
      <c r="D170" s="185"/>
      <c r="E170" s="185"/>
      <c r="F170" s="185"/>
      <c r="G170" s="185"/>
      <c r="H170" s="186"/>
      <c r="I170" s="81">
        <f t="shared" si="3"/>
        <v>0</v>
      </c>
      <c r="J170" s="86"/>
      <c r="K170" s="80"/>
      <c r="L170" s="185"/>
      <c r="M170" s="151"/>
    </row>
    <row r="171">
      <c r="A171" s="192" t="s">
        <v>702</v>
      </c>
      <c r="B171" s="238" t="str">
        <f>HYPERLINK("http://codeforces.com/contest/556/problem/C","CF556-D2-C")</f>
        <v>CF556-D2-C</v>
      </c>
      <c r="C171" s="185"/>
      <c r="D171" s="185"/>
      <c r="E171" s="185"/>
      <c r="F171" s="185"/>
      <c r="G171" s="185"/>
      <c r="H171" s="186"/>
      <c r="I171" s="81">
        <f t="shared" si="3"/>
        <v>0</v>
      </c>
      <c r="J171" s="86"/>
      <c r="K171" s="80"/>
      <c r="L171" s="185"/>
      <c r="M171" s="151"/>
    </row>
    <row r="172">
      <c r="A172" s="192" t="s">
        <v>703</v>
      </c>
      <c r="B172" s="238" t="str">
        <f>HYPERLINK("http://codeforces.com/contest/677/problem/C","CF677-D2-C")</f>
        <v>CF677-D2-C</v>
      </c>
      <c r="C172" s="185"/>
      <c r="D172" s="185"/>
      <c r="E172" s="185"/>
      <c r="F172" s="185"/>
      <c r="G172" s="185"/>
      <c r="H172" s="186"/>
      <c r="I172" s="81">
        <f t="shared" si="3"/>
        <v>0</v>
      </c>
      <c r="J172" s="86"/>
      <c r="K172" s="80"/>
      <c r="L172" s="185"/>
      <c r="M172" s="151"/>
    </row>
    <row r="173">
      <c r="A173" s="192" t="s">
        <v>704</v>
      </c>
      <c r="B173" s="238" t="str">
        <f>HYPERLINK("http://codeforces.com/contest/479/problem/C","CF479-D2-C")</f>
        <v>CF479-D2-C</v>
      </c>
      <c r="C173" s="185"/>
      <c r="D173" s="185"/>
      <c r="E173" s="185"/>
      <c r="F173" s="185"/>
      <c r="G173" s="185"/>
      <c r="H173" s="186"/>
      <c r="I173" s="81">
        <f t="shared" si="3"/>
        <v>0</v>
      </c>
      <c r="J173" s="86"/>
      <c r="K173" s="80"/>
      <c r="L173" s="185"/>
      <c r="M173" s="151"/>
    </row>
    <row r="174">
      <c r="A174" s="110" t="s">
        <v>705</v>
      </c>
      <c r="B174" s="152" t="str">
        <f>HYPERLINK("http://codeforces.com/contest/456/problem/C","CF456-D2-C")</f>
        <v>CF456-D2-C</v>
      </c>
      <c r="C174" s="50"/>
      <c r="D174" s="50"/>
      <c r="E174" s="50"/>
      <c r="F174" s="50"/>
      <c r="G174" s="50"/>
      <c r="H174" s="50"/>
      <c r="I174" s="127">
        <f t="shared" si="3"/>
        <v>0</v>
      </c>
      <c r="J174" s="117"/>
      <c r="K174" s="116"/>
      <c r="L174" s="50"/>
      <c r="M174" s="47"/>
    </row>
    <row r="175">
      <c r="A175" s="110" t="s">
        <v>706</v>
      </c>
      <c r="B175" s="152" t="str">
        <f>HYPERLINK("http://codeforces.com/contest/278/problem/C","CF278-D2-C")</f>
        <v>CF278-D2-C</v>
      </c>
      <c r="C175" s="50"/>
      <c r="D175" s="50"/>
      <c r="E175" s="50"/>
      <c r="F175" s="50"/>
      <c r="G175" s="50"/>
      <c r="H175" s="50"/>
      <c r="I175" s="127">
        <f t="shared" si="3"/>
        <v>0</v>
      </c>
      <c r="J175" s="117"/>
      <c r="K175" s="116"/>
      <c r="L175" s="50"/>
      <c r="M175" s="47"/>
    </row>
    <row r="176">
      <c r="A176" s="110" t="s">
        <v>707</v>
      </c>
      <c r="B176" s="152" t="str">
        <f>HYPERLINK("http://codeforces.com/contest/268/problem/C","CF268-D2-C")</f>
        <v>CF268-D2-C</v>
      </c>
      <c r="C176" s="50"/>
      <c r="D176" s="50"/>
      <c r="E176" s="50"/>
      <c r="F176" s="50"/>
      <c r="G176" s="50"/>
      <c r="H176" s="50"/>
      <c r="I176" s="127">
        <f t="shared" si="3"/>
        <v>0</v>
      </c>
      <c r="J176" s="117"/>
      <c r="K176" s="116"/>
      <c r="L176" s="50"/>
      <c r="M176" s="47"/>
    </row>
    <row r="177">
      <c r="A177" s="192"/>
      <c r="B177" s="87"/>
      <c r="C177" s="185"/>
      <c r="D177" s="185"/>
      <c r="E177" s="185"/>
      <c r="F177" s="185"/>
      <c r="G177" s="185"/>
      <c r="H177" s="186"/>
      <c r="I177" s="81">
        <f t="shared" si="3"/>
        <v>0</v>
      </c>
      <c r="J177" s="86"/>
      <c r="K177" s="80"/>
      <c r="L177" s="185"/>
      <c r="M177" s="151"/>
    </row>
    <row r="178">
      <c r="A178" s="110" t="s">
        <v>708</v>
      </c>
      <c r="B178" s="267" t="str">
        <f>HYPERLINK("https://uva.onlinejudge.org/index.php?option=com_onlinejudge&amp;Itemid=8&amp;page=show_problem&amp;problem=438","UVA 497")</f>
        <v>UVA 497</v>
      </c>
      <c r="C178" s="50"/>
      <c r="D178" s="50"/>
      <c r="E178" s="50"/>
      <c r="F178" s="50"/>
      <c r="G178" s="50"/>
      <c r="H178" s="50"/>
      <c r="I178" s="127">
        <f t="shared" si="3"/>
        <v>0</v>
      </c>
      <c r="J178" s="117"/>
      <c r="K178" s="116"/>
      <c r="L178" s="50"/>
      <c r="M178" s="268" t="s">
        <v>620</v>
      </c>
    </row>
    <row r="179">
      <c r="A179" s="110" t="s">
        <v>709</v>
      </c>
      <c r="B179" s="267" t="str">
        <f>HYPERLINK("https://uva.onlinejudge.org/index.php?option=com_onlinejudge&amp;Itemid=8&amp;page=show_problem&amp;problem=1680","UVA 10739")</f>
        <v>UVA 10739</v>
      </c>
      <c r="C179" s="185"/>
      <c r="D179" s="185"/>
      <c r="E179" s="185"/>
      <c r="F179" s="185"/>
      <c r="G179" s="185"/>
      <c r="H179" s="186"/>
      <c r="I179" s="81">
        <f t="shared" si="3"/>
        <v>0</v>
      </c>
      <c r="J179" s="86"/>
      <c r="K179" s="80"/>
      <c r="L179" s="185"/>
      <c r="M179" s="215" t="s">
        <v>620</v>
      </c>
    </row>
    <row r="180">
      <c r="A180" s="110" t="s">
        <v>710</v>
      </c>
      <c r="B180" s="267" t="str">
        <f>HYPERLINK("https://uva.onlinejudge.org/index.php?option=onlinejudge&amp;page=show_problem&amp;problem=1760","UVA 10819")</f>
        <v>UVA 10819</v>
      </c>
      <c r="C180" s="50"/>
      <c r="D180" s="50"/>
      <c r="E180" s="50"/>
      <c r="F180" s="50"/>
      <c r="G180" s="50"/>
      <c r="H180" s="50"/>
      <c r="I180" s="127">
        <f t="shared" si="3"/>
        <v>0</v>
      </c>
      <c r="J180" s="117"/>
      <c r="K180" s="116"/>
      <c r="L180" s="50"/>
      <c r="M180" s="47"/>
    </row>
    <row r="181">
      <c r="A181" s="110" t="s">
        <v>711</v>
      </c>
      <c r="B181" s="152" t="str">
        <f>HYPERLINK("http://codeforces.com/contest/812/problem/C","CF812-D2-C")</f>
        <v>CF812-D2-C</v>
      </c>
      <c r="C181" s="50"/>
      <c r="D181" s="50"/>
      <c r="E181" s="50"/>
      <c r="F181" s="50"/>
      <c r="G181" s="50"/>
      <c r="H181" s="50"/>
      <c r="I181" s="127">
        <f t="shared" si="3"/>
        <v>0</v>
      </c>
      <c r="J181" s="117"/>
      <c r="K181" s="116"/>
      <c r="L181" s="50"/>
      <c r="M181" s="152" t="str">
        <f>HYPERLINK("https://www.youtube.com/watch?v=SDEpB87Uxpg","Video Solution - Solver to be (Java)")</f>
        <v>Video Solution - Solver to be (Java)</v>
      </c>
    </row>
    <row r="182">
      <c r="A182" s="192" t="s">
        <v>712</v>
      </c>
      <c r="B182" s="238" t="str">
        <f>HYPERLINK("http://codeforces.com/contest/330/problem/C","CF330-D2-C")</f>
        <v>CF330-D2-C</v>
      </c>
      <c r="C182" s="185"/>
      <c r="D182" s="185"/>
      <c r="E182" s="185"/>
      <c r="F182" s="185"/>
      <c r="G182" s="185"/>
      <c r="H182" s="186"/>
      <c r="I182" s="81">
        <f t="shared" si="3"/>
        <v>0</v>
      </c>
      <c r="J182" s="86"/>
      <c r="K182" s="80"/>
      <c r="L182" s="185"/>
      <c r="M182" s="151"/>
    </row>
    <row r="183">
      <c r="A183" s="192" t="s">
        <v>713</v>
      </c>
      <c r="B183" s="238" t="str">
        <f>HYPERLINK("http://codeforces.com/contest/149/problem/C","CF149-D2-C")</f>
        <v>CF149-D2-C</v>
      </c>
      <c r="C183" s="185"/>
      <c r="D183" s="185"/>
      <c r="E183" s="185"/>
      <c r="F183" s="185"/>
      <c r="G183" s="185"/>
      <c r="H183" s="186"/>
      <c r="I183" s="81">
        <f t="shared" si="3"/>
        <v>0</v>
      </c>
      <c r="J183" s="86"/>
      <c r="K183" s="80"/>
      <c r="L183" s="185"/>
      <c r="M183" s="151"/>
    </row>
    <row r="184">
      <c r="A184" s="192" t="s">
        <v>714</v>
      </c>
      <c r="B184" s="238" t="str">
        <f>HYPERLINK("http://codeforces.com/contest/49/problem/C","CF49-D2-C")</f>
        <v>CF49-D2-C</v>
      </c>
      <c r="C184" s="185"/>
      <c r="D184" s="185"/>
      <c r="E184" s="185"/>
      <c r="F184" s="185"/>
      <c r="G184" s="185"/>
      <c r="H184" s="186"/>
      <c r="I184" s="81">
        <f t="shared" si="3"/>
        <v>0</v>
      </c>
      <c r="J184" s="86"/>
      <c r="K184" s="80"/>
      <c r="L184" s="185"/>
      <c r="M184" s="151"/>
    </row>
    <row r="185">
      <c r="A185" s="192" t="s">
        <v>715</v>
      </c>
      <c r="B185" s="238" t="str">
        <f>HYPERLINK("http://codeforces.com/contest/415/problem/C","CF415-D2-C")</f>
        <v>CF415-D2-C</v>
      </c>
      <c r="C185" s="185"/>
      <c r="D185" s="185"/>
      <c r="E185" s="185"/>
      <c r="F185" s="185"/>
      <c r="G185" s="185"/>
      <c r="H185" s="186"/>
      <c r="I185" s="81">
        <f t="shared" si="3"/>
        <v>0</v>
      </c>
      <c r="J185" s="86"/>
      <c r="K185" s="80"/>
      <c r="L185" s="185"/>
      <c r="M185" s="151"/>
    </row>
    <row r="186">
      <c r="A186" s="192" t="s">
        <v>716</v>
      </c>
      <c r="B186" s="238" t="str">
        <f>HYPERLINK("http://codeforces.com/contest/129/problem/C","CF129-D2-C")</f>
        <v>CF129-D2-C</v>
      </c>
      <c r="C186" s="185"/>
      <c r="D186" s="185"/>
      <c r="E186" s="185"/>
      <c r="F186" s="185"/>
      <c r="G186" s="185"/>
      <c r="H186" s="186"/>
      <c r="I186" s="81">
        <f t="shared" si="3"/>
        <v>0</v>
      </c>
      <c r="J186" s="86"/>
      <c r="K186" s="80"/>
      <c r="L186" s="185"/>
      <c r="M186" s="151"/>
    </row>
    <row r="187">
      <c r="A187" s="192" t="s">
        <v>717</v>
      </c>
      <c r="B187" s="238" t="str">
        <f>HYPERLINK("http://codeforces.com/contest/400/problem/C","CF400-D2-C")</f>
        <v>CF400-D2-C</v>
      </c>
      <c r="C187" s="185"/>
      <c r="D187" s="185"/>
      <c r="E187" s="185"/>
      <c r="F187" s="185"/>
      <c r="G187" s="185"/>
      <c r="H187" s="186"/>
      <c r="I187" s="81">
        <f t="shared" si="3"/>
        <v>0</v>
      </c>
      <c r="J187" s="86"/>
      <c r="K187" s="80"/>
      <c r="L187" s="185"/>
      <c r="M187" s="151"/>
    </row>
    <row r="188">
      <c r="A188" s="192" t="s">
        <v>718</v>
      </c>
      <c r="B188" s="238" t="str">
        <f>HYPERLINK("http://codeforces.com/contest/144/problem/C","CF144-D2-C")</f>
        <v>CF144-D2-C</v>
      </c>
      <c r="C188" s="185"/>
      <c r="D188" s="185"/>
      <c r="E188" s="185"/>
      <c r="F188" s="185"/>
      <c r="G188" s="185"/>
      <c r="H188" s="186"/>
      <c r="I188" s="81">
        <f t="shared" si="3"/>
        <v>0</v>
      </c>
      <c r="J188" s="86"/>
      <c r="K188" s="80"/>
      <c r="L188" s="185"/>
      <c r="M188" s="151"/>
    </row>
    <row r="189">
      <c r="A189" s="192" t="s">
        <v>719</v>
      </c>
      <c r="B189" s="238" t="str">
        <f>HYPERLINK("http://codeforces.com/contest/525/problem/C","CF525-D2-C")</f>
        <v>CF525-D2-C</v>
      </c>
      <c r="C189" s="185"/>
      <c r="D189" s="185"/>
      <c r="E189" s="185"/>
      <c r="F189" s="185"/>
      <c r="G189" s="185"/>
      <c r="H189" s="186"/>
      <c r="I189" s="81">
        <f t="shared" si="3"/>
        <v>0</v>
      </c>
      <c r="J189" s="86"/>
      <c r="K189" s="80"/>
      <c r="L189" s="185"/>
      <c r="M189" s="151"/>
    </row>
    <row r="190">
      <c r="A190" s="192" t="s">
        <v>720</v>
      </c>
      <c r="B190" s="238" t="str">
        <f>HYPERLINK("http://codeforces.com/contest/599/problem/C","CF599-D2-C")</f>
        <v>CF599-D2-C</v>
      </c>
      <c r="C190" s="185"/>
      <c r="D190" s="185"/>
      <c r="E190" s="185"/>
      <c r="F190" s="185"/>
      <c r="G190" s="185"/>
      <c r="H190" s="186"/>
      <c r="I190" s="81">
        <f t="shared" si="3"/>
        <v>0</v>
      </c>
      <c r="J190" s="86"/>
      <c r="K190" s="80"/>
      <c r="L190" s="185"/>
      <c r="M190" s="151"/>
    </row>
    <row r="191">
      <c r="A191" s="192"/>
      <c r="B191" s="87"/>
      <c r="C191" s="185"/>
      <c r="D191" s="185"/>
      <c r="E191" s="185"/>
      <c r="F191" s="185"/>
      <c r="G191" s="185"/>
      <c r="H191" s="186"/>
      <c r="I191" s="81">
        <f t="shared" si="3"/>
        <v>0</v>
      </c>
      <c r="J191" s="86"/>
      <c r="K191" s="80"/>
      <c r="L191" s="185"/>
      <c r="M191" s="151"/>
    </row>
    <row r="192">
      <c r="A192" s="110" t="s">
        <v>721</v>
      </c>
      <c r="B192" s="152" t="str">
        <f>HYPERLINK("http://codeforces.com/contest/462/problem/C","CF462-D2-C")</f>
        <v>CF462-D2-C</v>
      </c>
      <c r="C192" s="50"/>
      <c r="D192" s="50"/>
      <c r="E192" s="50"/>
      <c r="F192" s="50"/>
      <c r="G192" s="50"/>
      <c r="H192" s="50"/>
      <c r="I192" s="127">
        <f t="shared" si="3"/>
        <v>0</v>
      </c>
      <c r="J192" s="47"/>
      <c r="K192" s="50"/>
      <c r="L192" s="50"/>
      <c r="M192" s="152" t="str">
        <f>HYPERLINK("https://github.com/MedoN11/CompetitiveProgramming/blob/master/Atcoder/CF_462C.java","Sol")</f>
        <v>Sol</v>
      </c>
    </row>
    <row r="193">
      <c r="A193" s="110" t="s">
        <v>722</v>
      </c>
      <c r="B193" s="152" t="str">
        <f>HYPERLINK("http://codeforces.com/contest/518/problem/C","CF518-D2-C")</f>
        <v>CF518-D2-C</v>
      </c>
      <c r="C193" s="50"/>
      <c r="D193" s="50"/>
      <c r="E193" s="50"/>
      <c r="F193" s="50"/>
      <c r="G193" s="50"/>
      <c r="H193" s="50"/>
      <c r="I193" s="127">
        <f t="shared" si="3"/>
        <v>0</v>
      </c>
      <c r="J193" s="117"/>
      <c r="K193" s="116"/>
      <c r="L193" s="50"/>
      <c r="M193" s="47"/>
    </row>
    <row r="194">
      <c r="A194" s="110" t="s">
        <v>723</v>
      </c>
      <c r="B194" s="152" t="str">
        <f>HYPERLINK("http://codeforces.com/contest/276/problem/C","CF276-D2-C")</f>
        <v>CF276-D2-C</v>
      </c>
      <c r="C194" s="50"/>
      <c r="D194" s="50"/>
      <c r="E194" s="50"/>
      <c r="F194" s="50"/>
      <c r="G194" s="50"/>
      <c r="H194" s="50"/>
      <c r="I194" s="127">
        <f t="shared" si="3"/>
        <v>0</v>
      </c>
      <c r="J194" s="117"/>
      <c r="K194" s="116"/>
      <c r="L194" s="50"/>
      <c r="M194" s="47"/>
    </row>
    <row r="195">
      <c r="A195" s="110" t="s">
        <v>724</v>
      </c>
      <c r="B195" s="152" t="str">
        <f>HYPERLINK("http://codeforces.com/contest/368/problem/C","CF368-D2-C")</f>
        <v>CF368-D2-C</v>
      </c>
      <c r="C195" s="50"/>
      <c r="D195" s="50"/>
      <c r="E195" s="50"/>
      <c r="F195" s="50"/>
      <c r="G195" s="50"/>
      <c r="H195" s="50"/>
      <c r="I195" s="127">
        <f t="shared" si="3"/>
        <v>0</v>
      </c>
      <c r="J195" s="117"/>
      <c r="K195" s="116"/>
      <c r="L195" s="50"/>
      <c r="M195" s="47"/>
    </row>
    <row r="196">
      <c r="A196" s="192" t="s">
        <v>725</v>
      </c>
      <c r="B196" s="238" t="str">
        <f>HYPERLINK("http://codeforces.com/contest/437/problem/C","CF437-D2-C")</f>
        <v>CF437-D2-C</v>
      </c>
      <c r="C196" s="185"/>
      <c r="D196" s="185"/>
      <c r="E196" s="185"/>
      <c r="F196" s="185"/>
      <c r="G196" s="185"/>
      <c r="H196" s="186"/>
      <c r="I196" s="81">
        <f t="shared" si="3"/>
        <v>0</v>
      </c>
      <c r="J196" s="86"/>
      <c r="K196" s="80"/>
      <c r="L196" s="185"/>
      <c r="M196" s="151"/>
    </row>
    <row r="197">
      <c r="A197" s="192" t="s">
        <v>726</v>
      </c>
      <c r="B197" s="238" t="str">
        <f>HYPERLINK("http://codeforces.com/contest/318/problem/C","CF318-D2-C")</f>
        <v>CF318-D2-C</v>
      </c>
      <c r="C197" s="185"/>
      <c r="D197" s="185"/>
      <c r="E197" s="185"/>
      <c r="F197" s="185"/>
      <c r="G197" s="185"/>
      <c r="H197" s="186"/>
      <c r="I197" s="81">
        <f t="shared" si="3"/>
        <v>0</v>
      </c>
      <c r="J197" s="86"/>
      <c r="K197" s="80"/>
      <c r="L197" s="185"/>
      <c r="M197" s="151"/>
    </row>
    <row r="198">
      <c r="A198" s="192" t="s">
        <v>727</v>
      </c>
      <c r="B198" s="238" t="str">
        <f>HYPERLINK("http://codeforces.com/contest/165/problem/C","CF165-D2-C")</f>
        <v>CF165-D2-C</v>
      </c>
      <c r="C198" s="185"/>
      <c r="D198" s="185"/>
      <c r="E198" s="185"/>
      <c r="F198" s="185"/>
      <c r="G198" s="185"/>
      <c r="H198" s="186"/>
      <c r="I198" s="81">
        <f t="shared" si="3"/>
        <v>0</v>
      </c>
      <c r="J198" s="86"/>
      <c r="K198" s="80"/>
      <c r="L198" s="185"/>
      <c r="M198" s="151"/>
    </row>
    <row r="199">
      <c r="A199" s="192" t="s">
        <v>728</v>
      </c>
      <c r="B199" s="238" t="str">
        <f>HYPERLINK("http://codeforces.com/contest/731/problem/C","CF731-D2-C")</f>
        <v>CF731-D2-C</v>
      </c>
      <c r="C199" s="185"/>
      <c r="D199" s="185"/>
      <c r="E199" s="185"/>
      <c r="F199" s="185"/>
      <c r="G199" s="185"/>
      <c r="H199" s="186"/>
      <c r="I199" s="81">
        <f t="shared" si="3"/>
        <v>0</v>
      </c>
      <c r="J199" s="86"/>
      <c r="K199" s="80"/>
      <c r="L199" s="185"/>
      <c r="M199" s="151"/>
    </row>
    <row r="200">
      <c r="A200" s="192" t="s">
        <v>729</v>
      </c>
      <c r="B200" s="238" t="str">
        <f>HYPERLINK("http://codeforces.com/contest/369/problem/C","CF369-D2-C")</f>
        <v>CF369-D2-C</v>
      </c>
      <c r="C200" s="185"/>
      <c r="D200" s="185"/>
      <c r="E200" s="185"/>
      <c r="F200" s="185"/>
      <c r="G200" s="185"/>
      <c r="H200" s="186"/>
      <c r="I200" s="81">
        <f t="shared" si="3"/>
        <v>0</v>
      </c>
      <c r="J200" s="86"/>
      <c r="K200" s="80"/>
      <c r="L200" s="185"/>
      <c r="M200" s="151"/>
    </row>
  </sheetData>
  <mergeCells count="2">
    <mergeCell ref="D150:G150"/>
    <mergeCell ref="J150:M150"/>
  </mergeCells>
  <conditionalFormatting sqref="K3:K148 K152:K200">
    <cfRule type="cellIs" dxfId="5" priority="1" operator="equal">
      <formula>"No"</formula>
    </cfRule>
  </conditionalFormatting>
  <conditionalFormatting sqref="K3:K148 K152:K200">
    <cfRule type="cellIs" dxfId="5" priority="2" operator="equal">
      <formula>"no"</formula>
    </cfRule>
  </conditionalFormatting>
  <conditionalFormatting sqref="K3:K148 K152:K200">
    <cfRule type="cellIs" dxfId="5" priority="3" operator="equal">
      <formula>"NO"</formula>
    </cfRule>
  </conditionalFormatting>
  <conditionalFormatting sqref="C3:C210">
    <cfRule type="cellIs" dxfId="0" priority="4" operator="equal">
      <formula>"AC"</formula>
    </cfRule>
  </conditionalFormatting>
  <conditionalFormatting sqref="C3:C148 C152:C200">
    <cfRule type="containsText" dxfId="1" priority="5" operator="containsText" text="WA">
      <formula>NOT(ISERROR(SEARCH(("WA"),(C3))))</formula>
    </cfRule>
  </conditionalFormatting>
  <conditionalFormatting sqref="C3:C210">
    <cfRule type="containsText" dxfId="1" priority="6" operator="containsText" text="WA">
      <formula>NOT(ISERROR(SEARCH(("WA"),(C3))))</formula>
    </cfRule>
  </conditionalFormatting>
  <conditionalFormatting sqref="C3:C148 C152:C200">
    <cfRule type="containsText" dxfId="2" priority="7" operator="containsText" text="TLE">
      <formula>NOT(ISERROR(SEARCH(("TLE"),(C3))))</formula>
    </cfRule>
  </conditionalFormatting>
  <conditionalFormatting sqref="C3:C210">
    <cfRule type="containsText" dxfId="2" priority="8" operator="containsText" text="TLE">
      <formula>NOT(ISERROR(SEARCH(("TLE"),(C3))))</formula>
    </cfRule>
  </conditionalFormatting>
  <conditionalFormatting sqref="C3:C148 C152:C200">
    <cfRule type="containsText" dxfId="3" priority="9" operator="containsText" text="RTE">
      <formula>NOT(ISERROR(SEARCH(("RTE"),(C3))))</formula>
    </cfRule>
  </conditionalFormatting>
  <conditionalFormatting sqref="C3:C210">
    <cfRule type="containsText" dxfId="3" priority="10" operator="containsText" text="RTE">
      <formula>NOT(ISERROR(SEARCH(("RTE"),(C3))))</formula>
    </cfRule>
  </conditionalFormatting>
  <conditionalFormatting sqref="C3:C148 C152:C200">
    <cfRule type="containsText" dxfId="4" priority="11" operator="containsText" text="CS">
      <formula>NOT(ISERROR(SEARCH(("CS"),(C3))))</formula>
    </cfRule>
  </conditionalFormatting>
  <conditionalFormatting sqref="C3:C210">
    <cfRule type="containsText" dxfId="4"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9"/>
    <hyperlink r:id="rId10" ref="B143"/>
  </hyperlinks>
  <drawing r:id="rId11"/>
  <legacy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7.29"/>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6.57"/>
  </cols>
  <sheetData>
    <row r="1">
      <c r="A1" s="182" t="s">
        <v>143</v>
      </c>
      <c r="B1" s="233" t="s">
        <v>144</v>
      </c>
      <c r="C1" s="68" t="s">
        <v>145</v>
      </c>
      <c r="D1" s="69" t="s">
        <v>146</v>
      </c>
      <c r="E1" s="69" t="s">
        <v>147</v>
      </c>
      <c r="F1" s="68" t="s">
        <v>148</v>
      </c>
      <c r="G1" s="69" t="s">
        <v>149</v>
      </c>
      <c r="H1" s="69" t="s">
        <v>150</v>
      </c>
      <c r="I1" s="69" t="s">
        <v>151</v>
      </c>
      <c r="J1" s="68" t="s">
        <v>152</v>
      </c>
      <c r="K1" s="68" t="s">
        <v>153</v>
      </c>
      <c r="L1" s="68" t="s">
        <v>154</v>
      </c>
      <c r="M1" s="70" t="s">
        <v>155</v>
      </c>
    </row>
    <row r="2">
      <c r="A2" s="183"/>
      <c r="B2" s="234" t="s">
        <v>156</v>
      </c>
      <c r="C2" s="73">
        <f>countif(C3:C10507, "AC")</f>
        <v>0</v>
      </c>
      <c r="D2" s="74">
        <f>ROUND(SUMPRODUCT(D3:D10507,INT(EQ(C3:C10507, "AC")))/MAX(1, C2),1)</f>
        <v>0</v>
      </c>
      <c r="E2" s="74">
        <f>ROUND(SUMPRODUCT(E3:E10529,INT(EQ(C3:C10529, "AC")))/MAX(1, C2),0)</f>
        <v>0</v>
      </c>
      <c r="F2" s="74">
        <f>ROUND(SUMPRODUCT(F3:F10532,INT(EQ(C3:C10532, "AC")))/MAX(1, C2),0)</f>
        <v>0</v>
      </c>
      <c r="G2" s="74">
        <f>ROUND(SUMPRODUCT(G3:G10532,INT(EQ(C3:C10532, "AC")))/MAX(1, C2),0)</f>
        <v>0</v>
      </c>
      <c r="H2" s="74">
        <f>ROUND(SUMPRODUCT(H3:H10532,INT(EQ(C3:C10532, "AC")))/MAX(1, C2),0)</f>
        <v>0</v>
      </c>
      <c r="I2" s="74">
        <f>ROUND(SUMPRODUCT(I3:I10504,INT(EQ(C3:C10504, "AC")))/MAX(1, C2),0)</f>
        <v>0</v>
      </c>
      <c r="J2" s="74">
        <f>ROUND(SUMPRODUCT(J3:J10502,INT(EQ(C3:C10502, "AC")))/MAX(1, C2),1)</f>
        <v>0</v>
      </c>
      <c r="K2" s="74">
        <f>SUMPRODUCT(EQ(K3:K10507, "YES"),INT(EQ(C3:C10532, "AC")))</f>
        <v>0</v>
      </c>
      <c r="L2" s="75">
        <f>IFERROR(__xludf.DUMMYFUNCTION("COUNTA(FILTER(C3:C9999, NOT(REGEXMATCH(C3:C9999, ""AC""))))"),0.0)</f>
        <v>0</v>
      </c>
      <c r="M2" s="76">
        <f>IFERROR(__xludf.DUMMYFUNCTION("COUNTA(FILTER(C3:C9993, NOT(REGEXMATCH(C3:C9993, ""AC""))))"),0.0)</f>
        <v>0</v>
      </c>
    </row>
    <row r="3">
      <c r="A3" s="151"/>
      <c r="B3" s="151"/>
      <c r="C3" s="185"/>
      <c r="D3" s="185"/>
      <c r="E3" s="185"/>
      <c r="F3" s="185"/>
      <c r="G3" s="185"/>
      <c r="H3" s="186"/>
      <c r="I3" s="81">
        <f t="shared" ref="I3:I49" si="1">SUM(E3:H3)</f>
        <v>0</v>
      </c>
      <c r="J3" s="86"/>
      <c r="K3" s="80"/>
      <c r="L3" s="185"/>
      <c r="M3" s="191" t="str">
        <f>HYPERLINK("https://www.youtube.com/watch?v=YUIwEX8UEN0","Watch - Thinking - Search Space and Output Analysis")</f>
        <v>Watch - Thinking - Search Space and Output Analysis</v>
      </c>
    </row>
    <row r="4">
      <c r="A4" s="151"/>
      <c r="B4" s="151"/>
      <c r="C4" s="185"/>
      <c r="D4" s="185"/>
      <c r="E4" s="185"/>
      <c r="F4" s="185"/>
      <c r="G4" s="185"/>
      <c r="H4" s="186"/>
      <c r="I4" s="81">
        <f t="shared" si="1"/>
        <v>0</v>
      </c>
      <c r="J4" s="86"/>
      <c r="K4" s="80"/>
      <c r="L4" s="185"/>
      <c r="M4" s="187" t="str">
        <f>HYPERLINK("https://www.youtube.com/watch?v=TP8QXP6PBqM","Watch - Thinking - Observations Discovery ")</f>
        <v>Watch - Thinking - Observations Discovery </v>
      </c>
    </row>
    <row r="5">
      <c r="A5" s="151"/>
      <c r="B5" s="151"/>
      <c r="C5" s="185"/>
      <c r="D5" s="185"/>
      <c r="E5" s="185"/>
      <c r="F5" s="185"/>
      <c r="G5" s="185"/>
      <c r="H5" s="186"/>
      <c r="I5" s="81">
        <f t="shared" si="1"/>
        <v>0</v>
      </c>
      <c r="J5" s="86"/>
      <c r="K5" s="80"/>
      <c r="L5" s="185"/>
      <c r="M5" s="187" t="str">
        <f>HYPERLINK("https://www.youtube.com/watch?v=rdUs4FGkgRo","Watch - Game Theory - Intro")</f>
        <v>Watch - Game Theory - Intro</v>
      </c>
    </row>
    <row r="6">
      <c r="A6" s="146" t="s">
        <v>730</v>
      </c>
      <c r="B6" s="210" t="str">
        <f>HYPERLINK("http://codeforces.com/contest/151/problem/C","CF151-D2-C")</f>
        <v>CF151-D2-C</v>
      </c>
      <c r="C6" s="185"/>
      <c r="D6" s="185"/>
      <c r="E6" s="185"/>
      <c r="F6" s="185"/>
      <c r="G6" s="185"/>
      <c r="H6" s="186"/>
      <c r="I6" s="81">
        <f t="shared" si="1"/>
        <v>0</v>
      </c>
      <c r="J6" s="86"/>
      <c r="K6" s="80"/>
      <c r="L6" s="185"/>
      <c r="M6" s="106" t="str">
        <f>HYPERLINK("https://www.youtube.com/watch?v=SY88_vndOgI","Video Solution - Dr Mostafa Saad")</f>
        <v>Video Solution - Dr Mostafa Saad</v>
      </c>
    </row>
    <row r="7">
      <c r="A7" s="146" t="s">
        <v>731</v>
      </c>
      <c r="B7" s="210" t="str">
        <f>HYPERLINK("https://uva.onlinejudge.org/index.php?option=onlinejudge&amp;page=show_problem&amp;problem=1309","UVA 10368")</f>
        <v>UVA 10368</v>
      </c>
      <c r="C7" s="50"/>
      <c r="D7" s="50"/>
      <c r="E7" s="50"/>
      <c r="F7" s="50"/>
      <c r="G7" s="50"/>
      <c r="H7" s="50"/>
      <c r="I7" s="186">
        <f t="shared" si="1"/>
        <v>0</v>
      </c>
      <c r="J7" s="47"/>
      <c r="K7" s="50"/>
      <c r="L7" s="50"/>
      <c r="M7" s="249" t="str">
        <f>HYPERLINK("https://www.youtube.com/watch?v=86oGEiHeDO0","Video Solution - Eng Moaz Rashad")</f>
        <v>Video Solution - Eng Moaz Rashad</v>
      </c>
    </row>
    <row r="8">
      <c r="A8" s="196" t="s">
        <v>732</v>
      </c>
      <c r="B8" s="197" t="str">
        <f>HYPERLINK("http://www.spoj.com/problems/PIR/","SPOJ PIR")</f>
        <v>SPOJ PIR</v>
      </c>
      <c r="C8" s="185"/>
      <c r="D8" s="185"/>
      <c r="E8" s="185"/>
      <c r="F8" s="185"/>
      <c r="G8" s="185"/>
      <c r="H8" s="186"/>
      <c r="I8" s="81">
        <f t="shared" si="1"/>
        <v>0</v>
      </c>
      <c r="J8" s="86"/>
      <c r="K8" s="80"/>
      <c r="L8" s="185"/>
      <c r="M8" s="238" t="str">
        <f>HYPERLINK("https://github.com/mostafa-saad/MyCompetitiveProgramming/blob/master/SPOJ/SPOJ_PIR.txt","Sol")</f>
        <v>Sol</v>
      </c>
    </row>
    <row r="9">
      <c r="A9" s="196" t="s">
        <v>733</v>
      </c>
      <c r="B9" s="197" t="str">
        <f>HYPERLINK("https://uva.onlinejudge.org/index.php?option=com_onlinejudge&amp;Itemid=8&amp;page=show_problem&amp;problem=49","UVA 113")</f>
        <v>UVA 113</v>
      </c>
      <c r="C9" s="185"/>
      <c r="D9" s="185"/>
      <c r="E9" s="185"/>
      <c r="F9" s="185"/>
      <c r="G9" s="185"/>
      <c r="H9" s="186"/>
      <c r="I9" s="81">
        <f t="shared" si="1"/>
        <v>0</v>
      </c>
      <c r="J9" s="86"/>
      <c r="K9" s="80"/>
      <c r="L9" s="185"/>
      <c r="M9" s="269" t="str">
        <f>HYPERLINK("https://github.com/magdy-hasan/competitive-programming/blob/master/uva-/uva%20113%20-%20Power%20of%20Cryptography.cpp","Sol")</f>
        <v>Sol</v>
      </c>
    </row>
    <row r="10">
      <c r="A10" s="196"/>
      <c r="B10" s="196" t="s">
        <v>734</v>
      </c>
      <c r="C10" s="185"/>
      <c r="D10" s="185"/>
      <c r="E10" s="185"/>
      <c r="F10" s="185"/>
      <c r="G10" s="185"/>
      <c r="H10" s="186"/>
      <c r="I10" s="81">
        <f t="shared" si="1"/>
        <v>0</v>
      </c>
      <c r="J10" s="86"/>
      <c r="K10" s="80"/>
      <c r="L10" s="185"/>
      <c r="M10" s="269"/>
    </row>
    <row r="11">
      <c r="A11" s="239" t="s">
        <v>735</v>
      </c>
      <c r="B11" s="240" t="str">
        <f>HYPERLINK("https://uva.onlinejudge.org/index.php?option=onlinejudge&amp;page=show_problem&amp;problem=1403","UVA 10462")</f>
        <v>UVA 10462</v>
      </c>
      <c r="C11" s="185"/>
      <c r="D11" s="185"/>
      <c r="E11" s="185"/>
      <c r="F11" s="185"/>
      <c r="G11" s="185"/>
      <c r="H11" s="186"/>
      <c r="I11" s="81">
        <f t="shared" si="1"/>
        <v>0</v>
      </c>
      <c r="J11" s="47"/>
      <c r="K11" s="50"/>
      <c r="L11" s="50"/>
      <c r="M11" s="259" t="s">
        <v>625</v>
      </c>
    </row>
    <row r="12">
      <c r="A12" s="239"/>
      <c r="B12" s="196" t="s">
        <v>736</v>
      </c>
      <c r="C12" s="185"/>
      <c r="D12" s="185"/>
      <c r="E12" s="185"/>
      <c r="F12" s="185"/>
      <c r="G12" s="185"/>
      <c r="H12" s="186"/>
      <c r="I12" s="81">
        <f t="shared" si="1"/>
        <v>0</v>
      </c>
      <c r="J12" s="47"/>
      <c r="K12" s="50"/>
      <c r="L12" s="50"/>
      <c r="M12" s="50"/>
    </row>
    <row r="13">
      <c r="A13" s="151"/>
      <c r="B13" s="151"/>
      <c r="C13" s="185"/>
      <c r="D13" s="185"/>
      <c r="E13" s="185"/>
      <c r="F13" s="185"/>
      <c r="G13" s="185"/>
      <c r="H13" s="186"/>
      <c r="I13" s="81">
        <f t="shared" si="1"/>
        <v>0</v>
      </c>
      <c r="J13" s="86"/>
      <c r="K13" s="80"/>
      <c r="L13" s="185"/>
      <c r="M13" s="270"/>
    </row>
    <row r="14">
      <c r="A14" s="192" t="s">
        <v>737</v>
      </c>
      <c r="B14" s="238" t="str">
        <f>HYPERLINK("http://codeforces.com/contest/75/problem/C","CF75-D2-C")</f>
        <v>CF75-D2-C</v>
      </c>
      <c r="C14" s="185"/>
      <c r="D14" s="185"/>
      <c r="E14" s="185"/>
      <c r="F14" s="185"/>
      <c r="G14" s="185"/>
      <c r="H14" s="186"/>
      <c r="I14" s="81">
        <f t="shared" si="1"/>
        <v>0</v>
      </c>
      <c r="J14" s="86"/>
      <c r="K14" s="80"/>
      <c r="L14" s="185"/>
      <c r="M14" s="106" t="str">
        <f>HYPERLINK("https://www.youtube.com/watch?v=EZg71v0Z5iE","Video Solution - Dr Mostafa Saad")</f>
        <v>Video Solution - Dr Mostafa Saad</v>
      </c>
    </row>
    <row r="15">
      <c r="A15" s="192" t="s">
        <v>738</v>
      </c>
      <c r="B15" s="238" t="str">
        <f>HYPERLINK("http://codeforces.com/contest/740/problem/C","CF740-D2-C")</f>
        <v>CF740-D2-C</v>
      </c>
      <c r="C15" s="185"/>
      <c r="D15" s="185"/>
      <c r="E15" s="185"/>
      <c r="F15" s="185"/>
      <c r="G15" s="185"/>
      <c r="H15" s="186"/>
      <c r="I15" s="81">
        <f t="shared" si="1"/>
        <v>0</v>
      </c>
      <c r="J15" s="86"/>
      <c r="K15" s="80"/>
      <c r="L15" s="185"/>
      <c r="M15" s="106" t="str">
        <f>HYPERLINK("https://www.youtube.com/watch?v=yDt7GWiPeV4","Video Solution - Dr Mostafa Saad")</f>
        <v>Video Solution - Dr Mostafa Saad</v>
      </c>
    </row>
    <row r="16">
      <c r="A16" s="192" t="s">
        <v>582</v>
      </c>
      <c r="B16" s="238" t="str">
        <f>HYPERLINK("http://codeforces.com/contest/371/problem/C","CF371-D2-C")</f>
        <v>CF371-D2-C</v>
      </c>
      <c r="C16" s="185"/>
      <c r="D16" s="185"/>
      <c r="E16" s="185"/>
      <c r="F16" s="185"/>
      <c r="G16" s="185"/>
      <c r="H16" s="186"/>
      <c r="I16" s="81">
        <f t="shared" si="1"/>
        <v>0</v>
      </c>
      <c r="J16" s="86"/>
      <c r="K16" s="80"/>
      <c r="L16" s="185"/>
      <c r="M16" s="151"/>
    </row>
    <row r="17">
      <c r="A17" s="192" t="s">
        <v>739</v>
      </c>
      <c r="B17" s="238" t="str">
        <f>HYPERLINK("http://codeforces.com/contest/621/problem/C","CF621-D2-C")</f>
        <v>CF621-D2-C</v>
      </c>
      <c r="C17" s="185"/>
      <c r="D17" s="185"/>
      <c r="E17" s="185"/>
      <c r="F17" s="185"/>
      <c r="G17" s="185"/>
      <c r="H17" s="186"/>
      <c r="I17" s="81">
        <f t="shared" si="1"/>
        <v>0</v>
      </c>
      <c r="J17" s="86"/>
      <c r="K17" s="80"/>
      <c r="L17" s="120"/>
      <c r="M17" s="151"/>
    </row>
    <row r="18">
      <c r="A18" s="192" t="s">
        <v>740</v>
      </c>
      <c r="B18" s="238" t="str">
        <f>HYPERLINK("http://codeforces.com/contest/451/problem/C","CF451-D2-C")</f>
        <v>CF451-D2-C</v>
      </c>
      <c r="C18" s="185"/>
      <c r="D18" s="185"/>
      <c r="E18" s="185"/>
      <c r="F18" s="185"/>
      <c r="G18" s="185"/>
      <c r="H18" s="186"/>
      <c r="I18" s="81">
        <f t="shared" si="1"/>
        <v>0</v>
      </c>
      <c r="J18" s="86"/>
      <c r="K18" s="80"/>
      <c r="L18" s="120"/>
    </row>
    <row r="19">
      <c r="A19" s="192" t="s">
        <v>741</v>
      </c>
      <c r="B19" s="264" t="str">
        <f>HYPERLINK("http://codeforces.com/contest/260/problem/C","CF260-D2-C")</f>
        <v>CF260-D2-C</v>
      </c>
      <c r="C19" s="185"/>
      <c r="D19" s="185"/>
      <c r="E19" s="185"/>
      <c r="F19" s="185"/>
      <c r="G19" s="185"/>
      <c r="H19" s="186"/>
      <c r="I19" s="81">
        <f t="shared" si="1"/>
        <v>0</v>
      </c>
      <c r="J19" s="86"/>
      <c r="K19" s="80"/>
      <c r="L19" s="141"/>
      <c r="M19" s="106" t="str">
        <f>HYPERLINK("https://www.youtube.com/watch?v=W3Zp3yqNsOs","Video Solution - Dr Mostafa Saad")</f>
        <v>Video Solution - Dr Mostafa Saad</v>
      </c>
    </row>
    <row r="20">
      <c r="A20" s="192" t="s">
        <v>742</v>
      </c>
      <c r="B20" s="264" t="str">
        <f>HYPERLINK("http://codeforces.com/contest/347/problem/C","CF347-D2-C")</f>
        <v>CF347-D2-C</v>
      </c>
      <c r="C20" s="185"/>
      <c r="D20" s="185"/>
      <c r="E20" s="185"/>
      <c r="F20" s="185"/>
      <c r="G20" s="185"/>
      <c r="H20" s="186"/>
      <c r="I20" s="81">
        <f t="shared" si="1"/>
        <v>0</v>
      </c>
      <c r="J20" s="86"/>
      <c r="K20" s="80"/>
      <c r="L20" s="50"/>
      <c r="M20" s="162" t="str">
        <f>HYPERLINK("https://www.youtube.com/watch?v=CfBk2dwfLaE","Video Solution - Eng Mohamed Nasser")</f>
        <v>Video Solution - Eng Mohamed Nasser</v>
      </c>
    </row>
    <row r="21">
      <c r="A21" s="192" t="s">
        <v>743</v>
      </c>
      <c r="B21" s="95" t="str">
        <f>HYPERLINK("http://codeforces.com/contest/959/problem/C","CF959-D2-C")</f>
        <v>CF959-D2-C</v>
      </c>
      <c r="C21" s="185"/>
      <c r="D21" s="185"/>
      <c r="E21" s="185"/>
      <c r="F21" s="185"/>
      <c r="G21" s="185"/>
      <c r="H21" s="186"/>
      <c r="I21" s="81">
        <f t="shared" si="1"/>
        <v>0</v>
      </c>
      <c r="J21" s="86"/>
      <c r="K21" s="80"/>
      <c r="L21" s="50"/>
      <c r="M21" s="162" t="str">
        <f>HYPERLINK("https://www.youtube.com/watch?v=bvDYHy9ESnY&amp;","Video Solution - Eng Mohamed Salah")</f>
        <v>Video Solution - Eng Mohamed Salah</v>
      </c>
    </row>
    <row r="22">
      <c r="A22" s="192" t="s">
        <v>744</v>
      </c>
      <c r="B22" s="95" t="str">
        <f>HYPERLINK("https://codeforces.com/contest/1206/problem/C","CF1206-D2-C")</f>
        <v>CF1206-D2-C</v>
      </c>
      <c r="C22" s="185"/>
      <c r="D22" s="185"/>
      <c r="E22" s="185"/>
      <c r="F22" s="185"/>
      <c r="G22" s="185"/>
      <c r="H22" s="186"/>
      <c r="I22" s="81">
        <f t="shared" si="1"/>
        <v>0</v>
      </c>
      <c r="J22" s="86"/>
      <c r="K22" s="80"/>
      <c r="L22" s="50"/>
      <c r="M22" s="106" t="str">
        <f>HYPERLINK("https://www.youtube.com/watch?v=7D-8VO66OF8","Video Solution - Dr Mostafa Saad")</f>
        <v>Video Solution - Dr Mostafa Saad</v>
      </c>
    </row>
    <row r="23">
      <c r="A23" s="192"/>
      <c r="B23" s="167" t="str">
        <f>HYPERLINK("https://codeforces.com/contest/1220/problem/C","CF1220-D12-C")</f>
        <v>CF1220-D12-C</v>
      </c>
      <c r="C23" s="185"/>
      <c r="D23" s="185"/>
      <c r="E23" s="185"/>
      <c r="F23" s="185"/>
      <c r="G23" s="185"/>
      <c r="H23" s="186"/>
      <c r="I23" s="81">
        <f t="shared" si="1"/>
        <v>0</v>
      </c>
      <c r="J23" s="86"/>
      <c r="K23" s="80"/>
      <c r="L23" s="50"/>
      <c r="M23" s="226"/>
    </row>
    <row r="24">
      <c r="A24" s="192"/>
      <c r="B24" s="95" t="str">
        <f>HYPERLINK("http://codeforces.com/contest/1065/problem/C","CF1065-D2-C")</f>
        <v>CF1065-D2-C</v>
      </c>
      <c r="C24" s="185"/>
      <c r="D24" s="185"/>
      <c r="E24" s="185"/>
      <c r="F24" s="185"/>
      <c r="G24" s="185"/>
      <c r="H24" s="186"/>
      <c r="I24" s="81">
        <f t="shared" si="1"/>
        <v>0</v>
      </c>
      <c r="J24" s="86"/>
      <c r="K24" s="80"/>
      <c r="L24" s="50"/>
      <c r="M24" s="226"/>
    </row>
    <row r="25">
      <c r="A25" s="192"/>
      <c r="B25" s="95" t="str">
        <f>HYPERLINK("http://codeforces.com/contest/1036/problem/C","CF1036-D2-C")</f>
        <v>CF1036-D2-C</v>
      </c>
      <c r="C25" s="185"/>
      <c r="D25" s="185"/>
      <c r="E25" s="185"/>
      <c r="F25" s="185"/>
      <c r="G25" s="185"/>
      <c r="H25" s="186"/>
      <c r="I25" s="81">
        <f t="shared" si="1"/>
        <v>0</v>
      </c>
      <c r="J25" s="86"/>
      <c r="K25" s="80"/>
      <c r="L25" s="50"/>
      <c r="M25" s="226"/>
    </row>
    <row r="26">
      <c r="A26" s="192"/>
      <c r="B26" s="95" t="str">
        <f>HYPERLINK("https://codeforces.com/contest/1068/problem/C","CF1068-D2-C")</f>
        <v>CF1068-D2-C</v>
      </c>
      <c r="C26" s="185"/>
      <c r="D26" s="185"/>
      <c r="E26" s="185"/>
      <c r="F26" s="185"/>
      <c r="G26" s="185"/>
      <c r="H26" s="186"/>
      <c r="I26" s="81">
        <f t="shared" si="1"/>
        <v>0</v>
      </c>
      <c r="J26" s="86"/>
      <c r="K26" s="80"/>
      <c r="L26" s="50"/>
      <c r="M26" s="226"/>
    </row>
    <row r="27">
      <c r="A27" s="192"/>
      <c r="B27" s="152" t="str">
        <f>HYPERLINK("http://codeforces.com/contest/313/problem/C","CF313-D2-C")</f>
        <v>CF313-D2-C</v>
      </c>
      <c r="C27" s="185"/>
      <c r="D27" s="185"/>
      <c r="E27" s="185"/>
      <c r="F27" s="185"/>
      <c r="G27" s="185"/>
      <c r="H27" s="186"/>
      <c r="I27" s="81">
        <f t="shared" si="1"/>
        <v>0</v>
      </c>
      <c r="J27" s="86"/>
      <c r="K27" s="80"/>
      <c r="L27" s="50"/>
      <c r="M27" s="226"/>
    </row>
    <row r="28">
      <c r="A28" s="242" t="s">
        <v>745</v>
      </c>
      <c r="B28" s="271" t="str">
        <f>HYPERLINK("http://codeforces.com/contest/430/problem/B","CF430-D2-B")</f>
        <v>CF430-D2-B</v>
      </c>
      <c r="C28" s="185"/>
      <c r="D28" s="185"/>
      <c r="E28" s="185"/>
      <c r="F28" s="185"/>
      <c r="G28" s="185"/>
      <c r="H28" s="186"/>
      <c r="I28" s="81">
        <f t="shared" si="1"/>
        <v>0</v>
      </c>
      <c r="J28" s="86"/>
      <c r="K28" s="80"/>
      <c r="L28" s="50"/>
      <c r="M28" s="226"/>
    </row>
    <row r="29">
      <c r="A29" s="242" t="s">
        <v>746</v>
      </c>
      <c r="B29" s="271" t="str">
        <f>HYPERLINK("http://codeforces.com/contest/84/problem/B","CF84-D2-B")</f>
        <v>CF84-D2-B</v>
      </c>
      <c r="C29" s="185"/>
      <c r="D29" s="185"/>
      <c r="E29" s="185"/>
      <c r="F29" s="185"/>
      <c r="G29" s="185"/>
      <c r="H29" s="186"/>
      <c r="I29" s="81">
        <f t="shared" si="1"/>
        <v>0</v>
      </c>
      <c r="J29" s="86"/>
      <c r="K29" s="80"/>
      <c r="L29" s="50"/>
      <c r="M29" s="226"/>
    </row>
    <row r="30">
      <c r="A30" s="151"/>
      <c r="B30" s="151"/>
      <c r="C30" s="185"/>
      <c r="D30" s="185"/>
      <c r="E30" s="185"/>
      <c r="F30" s="185"/>
      <c r="G30" s="185"/>
      <c r="H30" s="186"/>
      <c r="I30" s="81">
        <f t="shared" si="1"/>
        <v>0</v>
      </c>
      <c r="J30" s="86"/>
      <c r="K30" s="80"/>
      <c r="L30" s="120"/>
      <c r="M30" s="187" t="str">
        <f>HYPERLINK("https://www.youtube.com/watch?v=fT4JZU5hO58","Watch - Thinking - Misc - Solution Verification - Implementation")</f>
        <v>Watch - Thinking - Misc - Solution Verification - Implementation</v>
      </c>
    </row>
    <row r="31">
      <c r="A31" s="151"/>
      <c r="B31" s="151"/>
      <c r="C31" s="185"/>
      <c r="D31" s="185"/>
      <c r="E31" s="185"/>
      <c r="F31" s="185"/>
      <c r="G31" s="185"/>
      <c r="H31" s="186"/>
      <c r="I31" s="81">
        <f t="shared" si="1"/>
        <v>0</v>
      </c>
      <c r="J31" s="86"/>
      <c r="K31" s="80"/>
      <c r="L31" s="120"/>
      <c r="M31" s="193" t="str">
        <f>HYPERLINK("https://www.youtube.com/watch?v=6GzxGabB5MI","Watch - Graph Theory - Dijkstra")</f>
        <v>Watch - Graph Theory - Dijkstra</v>
      </c>
    </row>
    <row r="32">
      <c r="A32" s="146" t="s">
        <v>747</v>
      </c>
      <c r="B32" s="244" t="str">
        <f>HYPERLINK("https://uva.onlinejudge.org/index.php?option=com_onlinejudge&amp;Itemid=8&amp;page=show_problem&amp;problem=512","UVA 571")</f>
        <v>UVA 571</v>
      </c>
      <c r="C32" s="185"/>
      <c r="D32" s="185"/>
      <c r="E32" s="185"/>
      <c r="F32" s="185"/>
      <c r="G32" s="185"/>
      <c r="H32" s="186"/>
      <c r="I32" s="81">
        <f t="shared" si="1"/>
        <v>0</v>
      </c>
      <c r="J32" s="86"/>
      <c r="K32" s="80"/>
      <c r="L32" s="47"/>
      <c r="M32" s="255" t="str">
        <f>HYPERLINK("https://www.youtube.com/watch?v=y0J3Jznp3kE","Video Solution - Dr Mostafa Saad")</f>
        <v>Video Solution - Dr Mostafa Saad</v>
      </c>
    </row>
    <row r="33">
      <c r="A33" s="146" t="s">
        <v>748</v>
      </c>
      <c r="B33" s="251" t="str">
        <f>HYPERLINK("https://uva.onlinejudge.org/index.php?option=com_onlinejudge&amp;Itemid=8&amp;page=show_problem&amp;problem=1927","UVA 10986")</f>
        <v>UVA 10986</v>
      </c>
      <c r="C33" s="185"/>
      <c r="D33" s="185"/>
      <c r="E33" s="185"/>
      <c r="F33" s="185"/>
      <c r="G33" s="185"/>
      <c r="H33" s="186"/>
      <c r="I33" s="81">
        <f t="shared" si="1"/>
        <v>0</v>
      </c>
      <c r="J33" s="86"/>
      <c r="K33" s="80"/>
      <c r="L33" s="120"/>
      <c r="M33" s="151"/>
    </row>
    <row r="34">
      <c r="A34" s="146" t="s">
        <v>749</v>
      </c>
      <c r="B34" s="251" t="str">
        <f>HYPERLINK("https://uva.onlinejudge.org/index.php?option=onlinejudge&amp;page=show_problem&amp;problem=1742","UVA 10801")</f>
        <v>UVA 10801</v>
      </c>
      <c r="C34" s="185"/>
      <c r="D34" s="185"/>
      <c r="E34" s="185"/>
      <c r="F34" s="185"/>
      <c r="G34" s="185"/>
      <c r="H34" s="186"/>
      <c r="I34" s="81">
        <f t="shared" si="1"/>
        <v>0</v>
      </c>
      <c r="J34" s="86"/>
      <c r="K34" s="80"/>
      <c r="L34" s="120"/>
      <c r="M34" s="151"/>
    </row>
    <row r="35">
      <c r="A35" s="146" t="s">
        <v>750</v>
      </c>
      <c r="B35" s="251" t="str">
        <f>HYPERLINK("http://www.spoj.com/problems/SHOP/","SPOJ SHOP")</f>
        <v>SPOJ SHOP</v>
      </c>
      <c r="C35" s="185"/>
      <c r="D35" s="185"/>
      <c r="E35" s="185"/>
      <c r="F35" s="185"/>
      <c r="G35" s="185"/>
      <c r="H35" s="186"/>
      <c r="I35" s="81">
        <f t="shared" si="1"/>
        <v>0</v>
      </c>
      <c r="J35" s="86"/>
      <c r="K35" s="80"/>
      <c r="L35" s="120"/>
      <c r="M35" s="151"/>
    </row>
    <row r="36">
      <c r="A36" s="247" t="s">
        <v>751</v>
      </c>
      <c r="B36" s="258" t="str">
        <f>HYPERLINK("https://uva.onlinejudge.org/index.php?option=onlinejudge&amp;page=show_problem&amp;problem=813","UVA 872")</f>
        <v>UVA 872</v>
      </c>
      <c r="C36" s="185"/>
      <c r="D36" s="185"/>
      <c r="E36" s="185"/>
      <c r="F36" s="185"/>
      <c r="G36" s="185"/>
      <c r="H36" s="186"/>
      <c r="I36" s="81">
        <f t="shared" si="1"/>
        <v>0</v>
      </c>
      <c r="J36" s="117"/>
      <c r="K36" s="116"/>
      <c r="L36" s="47"/>
      <c r="M36" s="259" t="s">
        <v>625</v>
      </c>
    </row>
    <row r="37">
      <c r="A37" s="247"/>
      <c r="B37" s="258" t="str">
        <f>HYPERLINK("https://codeforces.com/contest/1064/problem/C","CF1064-D2-C")</f>
        <v>CF1064-D2-C</v>
      </c>
      <c r="C37" s="185"/>
      <c r="D37" s="185"/>
      <c r="E37" s="185"/>
      <c r="F37" s="185"/>
      <c r="G37" s="185"/>
      <c r="H37" s="186"/>
      <c r="I37" s="81">
        <f t="shared" si="1"/>
        <v>0</v>
      </c>
      <c r="J37" s="117"/>
      <c r="K37" s="116"/>
      <c r="L37" s="47"/>
      <c r="M37" s="47"/>
    </row>
    <row r="38">
      <c r="A38" s="247"/>
      <c r="B38" s="258" t="str">
        <f>HYPERLINK("https://codeforces.com/contest/1059/problem/C","CF1059-D2-C")</f>
        <v>CF1059-D2-C</v>
      </c>
      <c r="C38" s="185"/>
      <c r="D38" s="185"/>
      <c r="E38" s="185"/>
      <c r="F38" s="185"/>
      <c r="G38" s="185"/>
      <c r="H38" s="186"/>
      <c r="I38" s="81">
        <f t="shared" si="1"/>
        <v>0</v>
      </c>
      <c r="J38" s="117"/>
      <c r="K38" s="116"/>
      <c r="L38" s="47"/>
      <c r="M38" s="47"/>
    </row>
    <row r="39">
      <c r="A39" s="247"/>
      <c r="B39" s="258" t="str">
        <f>HYPERLINK("https://codeforces.com/gym/101933/problem/K","CF101933-GYM-K")</f>
        <v>CF101933-GYM-K</v>
      </c>
      <c r="C39" s="185"/>
      <c r="D39" s="185"/>
      <c r="E39" s="185"/>
      <c r="F39" s="185"/>
      <c r="G39" s="185"/>
      <c r="H39" s="186"/>
      <c r="I39" s="81">
        <f t="shared" si="1"/>
        <v>0</v>
      </c>
      <c r="J39" s="117"/>
      <c r="K39" s="116"/>
      <c r="L39" s="47"/>
      <c r="M39" s="272" t="str">
        <f>HYPERLINK("https://github.com/pranavjangir/CompetitiveProgramming/blob/master/CodeForces/CF101933-GYM-K.cpp","Sol")</f>
        <v>Sol</v>
      </c>
    </row>
    <row r="40">
      <c r="A40" s="247" t="s">
        <v>752</v>
      </c>
      <c r="B40" s="248" t="str">
        <f>HYPERLINK("http://codeforces.com/contest/816/problem/B","CF816-D2-B")</f>
        <v>CF816-D2-B</v>
      </c>
      <c r="C40" s="50"/>
      <c r="D40" s="50"/>
      <c r="E40" s="50"/>
      <c r="F40" s="50"/>
      <c r="G40" s="50"/>
      <c r="H40" s="50"/>
      <c r="I40" s="127">
        <f t="shared" si="1"/>
        <v>0</v>
      </c>
      <c r="J40" s="117"/>
      <c r="K40" s="116"/>
      <c r="L40" s="47"/>
      <c r="M40" s="106" t="str">
        <f>HYPERLINK("https://www.youtube.com/watch?v=S0nKXwwWG8Y","Video Solution - Dr Mostafa Saad")</f>
        <v>Video Solution - Dr Mostafa Saad</v>
      </c>
    </row>
    <row r="41">
      <c r="A41" s="151"/>
      <c r="B41" s="151"/>
      <c r="C41" s="185"/>
      <c r="D41" s="185"/>
      <c r="E41" s="185"/>
      <c r="F41" s="185"/>
      <c r="G41" s="185"/>
      <c r="H41" s="186"/>
      <c r="I41" s="81">
        <f t="shared" si="1"/>
        <v>0</v>
      </c>
      <c r="J41" s="86"/>
      <c r="K41" s="80"/>
      <c r="L41" s="120"/>
      <c r="M41" s="151"/>
    </row>
    <row r="42">
      <c r="A42" s="192" t="s">
        <v>753</v>
      </c>
      <c r="B42" s="238" t="str">
        <f>HYPERLINK("http://codeforces.com/contest/63/problem/C","CF63-D2-C")</f>
        <v>CF63-D2-C</v>
      </c>
      <c r="C42" s="185"/>
      <c r="D42" s="185"/>
      <c r="E42" s="185"/>
      <c r="F42" s="185"/>
      <c r="G42" s="185"/>
      <c r="H42" s="186"/>
      <c r="I42" s="81">
        <f t="shared" si="1"/>
        <v>0</v>
      </c>
      <c r="J42" s="86"/>
      <c r="K42" s="80"/>
      <c r="L42" s="120"/>
      <c r="M42" s="238" t="str">
        <f>HYPERLINK("https://github.com/ilyesG/Competitive-Programming/blob/master/CodeForces/CF63-D2-C.cpp","Sol")</f>
        <v>Sol</v>
      </c>
    </row>
    <row r="43">
      <c r="A43" s="192" t="s">
        <v>754</v>
      </c>
      <c r="B43" s="238" t="str">
        <f>HYPERLINK("http://codeforces.com/contest/430/problem/C","CF430-D2-C")</f>
        <v>CF430-D2-C</v>
      </c>
      <c r="C43" s="185"/>
      <c r="D43" s="185"/>
      <c r="E43" s="185"/>
      <c r="F43" s="185"/>
      <c r="G43" s="185"/>
      <c r="H43" s="186"/>
      <c r="I43" s="81">
        <f t="shared" si="1"/>
        <v>0</v>
      </c>
      <c r="J43" s="86"/>
      <c r="K43" s="80"/>
      <c r="L43" s="120"/>
      <c r="M43" s="151"/>
    </row>
    <row r="44">
      <c r="A44" s="192" t="s">
        <v>755</v>
      </c>
      <c r="B44" s="238" t="str">
        <f>HYPERLINK("http://codeforces.com/contest/591/problem/C","CF591-D2-C")</f>
        <v>CF591-D2-C</v>
      </c>
      <c r="C44" s="185"/>
      <c r="D44" s="185"/>
      <c r="E44" s="185"/>
      <c r="F44" s="185"/>
      <c r="G44" s="185"/>
      <c r="H44" s="186"/>
      <c r="I44" s="81">
        <f t="shared" si="1"/>
        <v>0</v>
      </c>
      <c r="J44" s="86"/>
      <c r="K44" s="80"/>
      <c r="L44" s="120"/>
      <c r="M44" s="110"/>
    </row>
    <row r="45">
      <c r="A45" s="192" t="s">
        <v>756</v>
      </c>
      <c r="B45" s="238" t="str">
        <f>HYPERLINK("http://codeforces.com/contest/711/problem/C","CF711-D2-C")</f>
        <v>CF711-D2-C</v>
      </c>
      <c r="C45" s="185"/>
      <c r="D45" s="185"/>
      <c r="E45" s="185"/>
      <c r="F45" s="185"/>
      <c r="G45" s="185"/>
      <c r="H45" s="186"/>
      <c r="I45" s="81">
        <f t="shared" si="1"/>
        <v>0</v>
      </c>
      <c r="J45" s="86"/>
      <c r="K45" s="80"/>
      <c r="L45" s="120"/>
      <c r="M45" s="106" t="str">
        <f>HYPERLINK("https://www.youtube.com/watch?v=aYERNlE7KLU","Video Solution - Solver to be")</f>
        <v>Video Solution - Solver to be</v>
      </c>
    </row>
    <row r="46">
      <c r="A46" s="110" t="s">
        <v>757</v>
      </c>
      <c r="B46" s="152" t="str">
        <f>HYPERLINK("http://codeforces.com/contest/202/problem/C","CF202-D2-C")</f>
        <v>CF202-D2-C</v>
      </c>
      <c r="C46" s="185"/>
      <c r="D46" s="185"/>
      <c r="E46" s="185"/>
      <c r="F46" s="185"/>
      <c r="G46" s="185"/>
      <c r="H46" s="186"/>
      <c r="I46" s="81">
        <f t="shared" si="1"/>
        <v>0</v>
      </c>
      <c r="J46" s="86"/>
      <c r="K46" s="80"/>
      <c r="L46" s="47"/>
      <c r="M46" s="47"/>
    </row>
    <row r="47">
      <c r="A47" s="110"/>
      <c r="B47" s="167" t="str">
        <f>HYPERLINK("https://codeforces.com/contest/1237/problem/C2","CF1237-D12-C2")</f>
        <v>CF1237-D12-C2</v>
      </c>
      <c r="C47" s="185"/>
      <c r="D47" s="185"/>
      <c r="E47" s="185"/>
      <c r="F47" s="185"/>
      <c r="G47" s="185"/>
      <c r="H47" s="186"/>
      <c r="I47" s="81">
        <f t="shared" si="1"/>
        <v>0</v>
      </c>
      <c r="J47" s="86"/>
      <c r="K47" s="80"/>
      <c r="L47" s="47"/>
      <c r="M47" s="47"/>
    </row>
    <row r="48">
      <c r="A48" s="242" t="s">
        <v>758</v>
      </c>
      <c r="B48" s="49" t="str">
        <f>HYPERLINK("http://codeforces.com/contest/426/problem/B","CF426-D2-B")</f>
        <v>CF426-D2-B</v>
      </c>
      <c r="C48" s="185"/>
      <c r="D48" s="185"/>
      <c r="E48" s="185"/>
      <c r="F48" s="185"/>
      <c r="G48" s="185"/>
      <c r="H48" s="186"/>
      <c r="I48" s="81">
        <f t="shared" si="1"/>
        <v>0</v>
      </c>
      <c r="J48" s="86"/>
      <c r="K48" s="80"/>
      <c r="L48" s="120"/>
      <c r="M48" s="151"/>
    </row>
    <row r="49">
      <c r="A49" s="242" t="s">
        <v>759</v>
      </c>
      <c r="B49" s="49" t="str">
        <f>HYPERLINK("http://codeforces.com/contest/675/problem/B","CF675-D2-B")</f>
        <v>CF675-D2-B</v>
      </c>
      <c r="C49" s="185"/>
      <c r="D49" s="185"/>
      <c r="E49" s="185"/>
      <c r="F49" s="185"/>
      <c r="G49" s="185"/>
      <c r="H49" s="186"/>
      <c r="I49" s="81">
        <f t="shared" si="1"/>
        <v>0</v>
      </c>
      <c r="J49" s="86"/>
      <c r="K49" s="80"/>
      <c r="L49" s="120"/>
      <c r="M49" s="151"/>
    </row>
    <row r="50">
      <c r="A50" s="151"/>
      <c r="B50" s="151"/>
      <c r="C50" s="185"/>
      <c r="D50" s="185"/>
      <c r="E50" s="185"/>
      <c r="F50" s="185"/>
      <c r="G50" s="185"/>
      <c r="H50" s="186"/>
      <c r="I50" s="81"/>
      <c r="J50" s="86"/>
      <c r="K50" s="80"/>
      <c r="L50" s="120"/>
      <c r="M50" s="191"/>
    </row>
    <row r="51">
      <c r="A51" s="151"/>
      <c r="B51" s="151"/>
      <c r="C51" s="185"/>
      <c r="D51" s="185"/>
      <c r="E51" s="185"/>
      <c r="F51" s="185"/>
      <c r="G51" s="185"/>
      <c r="H51" s="186"/>
      <c r="I51" s="81">
        <f t="shared" ref="I51:I154" si="2">SUM(E51:H51)</f>
        <v>0</v>
      </c>
      <c r="J51" s="86"/>
      <c r="K51" s="80"/>
      <c r="L51" s="120"/>
      <c r="M51" s="191" t="str">
        <f>HYPERLINK("https://www.youtube.com/watch?v=k5fDfC9vfWM","Watch - Computational Geometry - Lines Intersections")</f>
        <v>Watch - Computational Geometry - Lines Intersections</v>
      </c>
    </row>
    <row r="52">
      <c r="A52" s="146" t="s">
        <v>760</v>
      </c>
      <c r="B52" s="251" t="str">
        <f>HYPERLINK("https://uva.onlinejudge.org/index.php?option=onlinejudge&amp;page=show_problem&amp;problem=678","UVA 737")</f>
        <v>UVA 737</v>
      </c>
      <c r="C52" s="185"/>
      <c r="D52" s="185"/>
      <c r="E52" s="185"/>
      <c r="F52" s="185"/>
      <c r="G52" s="185"/>
      <c r="H52" s="186"/>
      <c r="I52" s="81">
        <f t="shared" si="2"/>
        <v>0</v>
      </c>
      <c r="J52" s="86"/>
      <c r="K52" s="80"/>
      <c r="L52" s="120"/>
      <c r="M52" s="238" t="str">
        <f>HYPERLINK("https://github.com/mostafa-saad/MyCompetitiveProgramming/blob/master/UVA/UVA_737.txt","Sol")</f>
        <v>Sol</v>
      </c>
    </row>
    <row r="53">
      <c r="A53" s="146" t="s">
        <v>761</v>
      </c>
      <c r="B53" s="251" t="str">
        <f>HYPERLINK("https://uva.onlinejudge.org/index.php?option=com_onlinejudge&amp;Itemid=8&amp;page=show_problem&amp;problem=807","UVA 866")</f>
        <v>UVA 866</v>
      </c>
      <c r="C53" s="185"/>
      <c r="D53" s="185"/>
      <c r="E53" s="185"/>
      <c r="F53" s="185"/>
      <c r="G53" s="185"/>
      <c r="H53" s="186"/>
      <c r="I53" s="81">
        <f t="shared" si="2"/>
        <v>0</v>
      </c>
      <c r="J53" s="86"/>
      <c r="K53" s="80"/>
      <c r="L53" s="120"/>
      <c r="M53" s="238" t="str">
        <f>HYPERLINK("https://github.com/MeGaCrazy/CompetitiveProgramming/blob/master/UVA/UVA_866.cpp","Sol")</f>
        <v>Sol</v>
      </c>
    </row>
    <row r="54">
      <c r="A54" s="151"/>
      <c r="B54" s="151"/>
      <c r="C54" s="185"/>
      <c r="D54" s="185"/>
      <c r="E54" s="185"/>
      <c r="F54" s="185"/>
      <c r="G54" s="185"/>
      <c r="H54" s="186"/>
      <c r="I54" s="81">
        <f t="shared" si="2"/>
        <v>0</v>
      </c>
      <c r="J54" s="86"/>
      <c r="K54" s="80"/>
      <c r="L54" s="120"/>
      <c r="M54" s="191" t="str">
        <f>HYPERLINK("https://www.youtube.com/watch?v=Fa69kqT9NPY","Watch - Computational Geometry - Circles")</f>
        <v>Watch - Computational Geometry - Circles</v>
      </c>
    </row>
    <row r="55">
      <c r="A55" s="146" t="s">
        <v>762</v>
      </c>
      <c r="B55" s="251" t="str">
        <f>HYPERLINK("https://uva.onlinejudge.org/index.php?option=onlinejudge&amp;page=show_problem&amp;problem=379","UVA 438")</f>
        <v>UVA 438</v>
      </c>
      <c r="C55" s="185"/>
      <c r="D55" s="185"/>
      <c r="E55" s="185"/>
      <c r="F55" s="185"/>
      <c r="G55" s="185"/>
      <c r="H55" s="186"/>
      <c r="I55" s="81">
        <f t="shared" si="2"/>
        <v>0</v>
      </c>
      <c r="J55" s="86"/>
      <c r="K55" s="80"/>
      <c r="L55" s="120"/>
      <c r="M55" s="238" t="str">
        <f>HYPERLINK("https://github.com/hosamk92/CompetitiveProgramming/blob/master/UVA/UVA%20438.cpp","Sol")</f>
        <v>Sol</v>
      </c>
    </row>
    <row r="56">
      <c r="A56" s="146" t="s">
        <v>763</v>
      </c>
      <c r="B56" s="251" t="str">
        <f>HYPERLINK("https://uva.onlinejudge.org/index.php?option=com_onlinejudge&amp;Itemid=8&amp;page=show_problem&amp;problem=418","UVA 477")</f>
        <v>UVA 477</v>
      </c>
      <c r="C56" s="185"/>
      <c r="D56" s="185"/>
      <c r="E56" s="185"/>
      <c r="F56" s="185"/>
      <c r="G56" s="185"/>
      <c r="H56" s="186"/>
      <c r="I56" s="81">
        <f t="shared" si="2"/>
        <v>0</v>
      </c>
      <c r="J56" s="86"/>
      <c r="K56" s="80"/>
      <c r="L56" s="120"/>
      <c r="M56" s="238" t="str">
        <f>HYPERLINK("https://github.com/MeGaCrazy/CompetitiveProgramming/blob/5343b4e1aabd67db25a4864de4eb81eb094709e3/UVA/UVA_477.cpp","Sol")</f>
        <v>Sol</v>
      </c>
    </row>
    <row r="57">
      <c r="A57" s="221" t="s">
        <v>764</v>
      </c>
      <c r="B57" s="251" t="str">
        <f>HYPERLINK("https://uva.onlinejudge.org/index.php?option=onlinejudge&amp;page=show_problem&amp;problem=292","UVA 356")</f>
        <v>UVA 356</v>
      </c>
      <c r="C57" s="185"/>
      <c r="D57" s="185"/>
      <c r="E57" s="185"/>
      <c r="F57" s="185"/>
      <c r="G57" s="185"/>
      <c r="H57" s="186"/>
      <c r="I57" s="81">
        <f t="shared" si="2"/>
        <v>0</v>
      </c>
      <c r="J57" s="86"/>
      <c r="K57" s="80"/>
      <c r="L57" s="120"/>
      <c r="M57" s="106" t="str">
        <f>HYPERLINK("https://github.com/AymanSalah96/CompetitiveProgramming/blob/master/UVA/356.cpp","Sol to read")</f>
        <v>Sol to read</v>
      </c>
    </row>
    <row r="58">
      <c r="A58" s="221"/>
      <c r="B58" s="273" t="s">
        <v>765</v>
      </c>
      <c r="C58" s="185"/>
      <c r="D58" s="185"/>
      <c r="E58" s="185"/>
      <c r="F58" s="185"/>
      <c r="G58" s="185"/>
      <c r="H58" s="186"/>
      <c r="I58" s="81">
        <f t="shared" si="2"/>
        <v>0</v>
      </c>
      <c r="J58" s="117"/>
      <c r="K58" s="116"/>
      <c r="L58" s="47"/>
      <c r="M58" s="128" t="str">
        <f>HYPERLINK("https://github.com/MeGaCrazy/CompetitiveProgramming/blob/c099628e643065a7bae09af22c4cbce1216e4db9/UVA/UVA_453.cpp","Learn Handling Precisions")</f>
        <v>Learn Handling Precisions</v>
      </c>
    </row>
    <row r="59">
      <c r="A59" s="196" t="s">
        <v>766</v>
      </c>
      <c r="B59" s="197" t="str">
        <f>HYPERLINK("https://uva.onlinejudge.org/index.php?option=onlinejudge&amp;page=show_problem&amp;problem=1425","UVA 10484")</f>
        <v>UVA 10484</v>
      </c>
      <c r="C59" s="185"/>
      <c r="D59" s="185"/>
      <c r="E59" s="185"/>
      <c r="F59" s="185"/>
      <c r="G59" s="185"/>
      <c r="H59" s="186"/>
      <c r="I59" s="81">
        <f t="shared" si="2"/>
        <v>0</v>
      </c>
      <c r="J59" s="86"/>
      <c r="K59" s="80"/>
      <c r="L59" s="120"/>
      <c r="M59" s="106" t="str">
        <f>HYPERLINK("https://github.com/mostafa-saad/MyCompetitiveProgramming/blob/master/UVA/UVA_10484.txt","Sol to read")</f>
        <v>Sol to read</v>
      </c>
    </row>
    <row r="60">
      <c r="A60" s="196"/>
      <c r="B60" s="138" t="s">
        <v>767</v>
      </c>
      <c r="C60" s="185"/>
      <c r="D60" s="185"/>
      <c r="E60" s="185"/>
      <c r="F60" s="185"/>
      <c r="G60" s="185"/>
      <c r="H60" s="186"/>
      <c r="I60" s="81">
        <f t="shared" si="2"/>
        <v>0</v>
      </c>
      <c r="J60" s="86"/>
      <c r="K60" s="80"/>
      <c r="L60" s="120"/>
      <c r="M60" s="141"/>
    </row>
    <row r="61">
      <c r="A61" s="196"/>
      <c r="B61" s="197" t="str">
        <f>HYPERLINK("http://codeforces.com/contest/975/problem/C","CF975-D2-C")</f>
        <v>CF975-D2-C</v>
      </c>
      <c r="C61" s="185"/>
      <c r="D61" s="185"/>
      <c r="E61" s="185"/>
      <c r="F61" s="185"/>
      <c r="G61" s="185"/>
      <c r="H61" s="186"/>
      <c r="I61" s="81">
        <f t="shared" si="2"/>
        <v>0</v>
      </c>
      <c r="J61" s="86"/>
      <c r="K61" s="80"/>
      <c r="L61" s="120"/>
      <c r="M61" s="141"/>
    </row>
    <row r="62">
      <c r="A62" s="196"/>
      <c r="B62" s="197" t="str">
        <f>HYPERLINK("http://codeforces.com/contest/1047/problem/C","CF1047-D2-C")</f>
        <v>CF1047-D2-C</v>
      </c>
      <c r="C62" s="185"/>
      <c r="D62" s="185"/>
      <c r="E62" s="185"/>
      <c r="F62" s="185"/>
      <c r="G62" s="185"/>
      <c r="H62" s="186"/>
      <c r="I62" s="81">
        <f t="shared" si="2"/>
        <v>0</v>
      </c>
      <c r="J62" s="86"/>
      <c r="K62" s="80"/>
      <c r="L62" s="120"/>
      <c r="M62" s="141"/>
    </row>
    <row r="63">
      <c r="A63" s="196"/>
      <c r="B63" s="197" t="str">
        <f>HYPERLINK("http://codeforces.com/contest/1075/problem/C","CF1075-D2-C")</f>
        <v>CF1075-D2-C</v>
      </c>
      <c r="C63" s="185"/>
      <c r="D63" s="185"/>
      <c r="E63" s="185"/>
      <c r="F63" s="185"/>
      <c r="G63" s="185"/>
      <c r="H63" s="186"/>
      <c r="I63" s="81">
        <f t="shared" si="2"/>
        <v>0</v>
      </c>
      <c r="J63" s="86"/>
      <c r="K63" s="80"/>
      <c r="L63" s="120"/>
      <c r="M63" s="141"/>
    </row>
    <row r="64">
      <c r="A64" s="196"/>
      <c r="B64" s="197" t="str">
        <f>HYPERLINK("http://codeforces.com/contest/758/problem/C","CF758-D2-C")</f>
        <v>CF758-D2-C</v>
      </c>
      <c r="C64" s="185"/>
      <c r="D64" s="185"/>
      <c r="E64" s="185"/>
      <c r="F64" s="185"/>
      <c r="G64" s="185"/>
      <c r="H64" s="186"/>
      <c r="I64" s="81">
        <f t="shared" si="2"/>
        <v>0</v>
      </c>
      <c r="J64" s="86"/>
      <c r="K64" s="80"/>
      <c r="L64" s="120"/>
      <c r="M64" s="141"/>
    </row>
    <row r="65">
      <c r="A65" s="196"/>
      <c r="B65" s="241" t="s">
        <v>768</v>
      </c>
      <c r="C65" s="185"/>
      <c r="D65" s="185"/>
      <c r="E65" s="185"/>
      <c r="F65" s="185"/>
      <c r="G65" s="185"/>
      <c r="H65" s="186"/>
      <c r="I65" s="81">
        <f t="shared" si="2"/>
        <v>0</v>
      </c>
      <c r="J65" s="86"/>
      <c r="K65" s="80"/>
      <c r="L65" s="120"/>
      <c r="M65" s="274" t="str">
        <f>HYPERLINK("https://www.youtube.com/watch?v=MR5APvYis-o&amp;feature=youtu.be","Video Sol. Also solvable in 2 other ways.")</f>
        <v>Video Sol. Also solvable in 2 other ways.</v>
      </c>
    </row>
    <row r="66">
      <c r="A66" s="151"/>
      <c r="B66" s="151"/>
      <c r="C66" s="185"/>
      <c r="D66" s="185"/>
      <c r="E66" s="185"/>
      <c r="F66" s="185"/>
      <c r="G66" s="185"/>
      <c r="H66" s="186"/>
      <c r="I66" s="81">
        <f t="shared" si="2"/>
        <v>0</v>
      </c>
      <c r="J66" s="86"/>
      <c r="K66" s="80"/>
      <c r="L66" s="120"/>
      <c r="M66" s="151"/>
    </row>
    <row r="67">
      <c r="A67" s="110" t="s">
        <v>769</v>
      </c>
      <c r="B67" s="152" t="str">
        <f>HYPERLINK("http://codeforces.com/contest/124/problem/C","CF124-D2-C")</f>
        <v>CF124-D2-C</v>
      </c>
      <c r="C67" s="185"/>
      <c r="D67" s="185"/>
      <c r="E67" s="185"/>
      <c r="F67" s="185"/>
      <c r="G67" s="185"/>
      <c r="H67" s="186"/>
      <c r="I67" s="81">
        <f t="shared" si="2"/>
        <v>0</v>
      </c>
      <c r="J67" s="117"/>
      <c r="K67" s="116"/>
      <c r="L67" s="47"/>
      <c r="M67" s="47"/>
    </row>
    <row r="68">
      <c r="A68" s="110" t="s">
        <v>770</v>
      </c>
      <c r="B68" s="152" t="str">
        <f>HYPERLINK("http://codeforces.com/contest/155/problem/C","CF155-D2-C")</f>
        <v>CF155-D2-C</v>
      </c>
      <c r="C68" s="185"/>
      <c r="D68" s="185"/>
      <c r="E68" s="185"/>
      <c r="F68" s="185"/>
      <c r="G68" s="185"/>
      <c r="H68" s="186"/>
      <c r="I68" s="81">
        <f t="shared" si="2"/>
        <v>0</v>
      </c>
      <c r="J68" s="117"/>
      <c r="K68" s="116"/>
      <c r="L68" s="47"/>
      <c r="M68" s="47"/>
    </row>
    <row r="69">
      <c r="A69" s="192" t="s">
        <v>771</v>
      </c>
      <c r="B69" s="238" t="str">
        <f>HYPERLINK("http://codeforces.com/contest/148/problem/C","CF148-D2-C")</f>
        <v>CF148-D2-C</v>
      </c>
      <c r="C69" s="185"/>
      <c r="D69" s="185"/>
      <c r="E69" s="185"/>
      <c r="F69" s="185"/>
      <c r="G69" s="185"/>
      <c r="H69" s="186"/>
      <c r="I69" s="81">
        <f t="shared" si="2"/>
        <v>0</v>
      </c>
      <c r="J69" s="86"/>
      <c r="K69" s="80"/>
      <c r="L69" s="120"/>
      <c r="M69" s="162" t="str">
        <f>HYPERLINK("https://www.youtube.com/watch?v=BX2HhPefv6g","Video Solution - Eng Mohamed Nasser")</f>
        <v>Video Solution - Eng Mohamed Nasser</v>
      </c>
    </row>
    <row r="70">
      <c r="A70" s="192" t="s">
        <v>772</v>
      </c>
      <c r="B70" s="238" t="str">
        <f>HYPERLINK("http://codeforces.com/contest/490/problem/C","CF490-D2-C")</f>
        <v>CF490-D2-C</v>
      </c>
      <c r="C70" s="185"/>
      <c r="D70" s="185"/>
      <c r="E70" s="185"/>
      <c r="F70" s="185"/>
      <c r="G70" s="185"/>
      <c r="H70" s="186"/>
      <c r="I70" s="81">
        <f t="shared" si="2"/>
        <v>0</v>
      </c>
      <c r="J70" s="86"/>
      <c r="K70" s="80"/>
      <c r="L70" s="120"/>
      <c r="M70" s="151"/>
    </row>
    <row r="71">
      <c r="A71" s="192" t="s">
        <v>773</v>
      </c>
      <c r="B71" s="238" t="str">
        <f>HYPERLINK("http://codeforces.com/contest/476/problem/C","CF476-D2-C")</f>
        <v>CF476-D2-C</v>
      </c>
      <c r="C71" s="185"/>
      <c r="D71" s="185"/>
      <c r="E71" s="185"/>
      <c r="F71" s="185"/>
      <c r="G71" s="185"/>
      <c r="H71" s="186"/>
      <c r="I71" s="81">
        <f t="shared" si="2"/>
        <v>0</v>
      </c>
      <c r="J71" s="86"/>
      <c r="K71" s="80"/>
      <c r="L71" s="120"/>
      <c r="M71" s="106" t="str">
        <f>HYPERLINK("https://www.youtube.com/watch?v=KS9POnQMfmY","Video Solution - Dr Mostafa Saad")</f>
        <v>Video Solution - Dr Mostafa Saad</v>
      </c>
    </row>
    <row r="72">
      <c r="A72" s="192" t="s">
        <v>774</v>
      </c>
      <c r="B72" s="238" t="str">
        <f>HYPERLINK("http://codeforces.com/contest/195/problem/C","CF195-D2-C")</f>
        <v>CF195-D2-C</v>
      </c>
      <c r="C72" s="185"/>
      <c r="D72" s="185"/>
      <c r="E72" s="185"/>
      <c r="F72" s="185"/>
      <c r="G72" s="185"/>
      <c r="H72" s="186"/>
      <c r="I72" s="81">
        <f t="shared" si="2"/>
        <v>0</v>
      </c>
      <c r="J72" s="86"/>
      <c r="K72" s="80"/>
      <c r="L72" s="120"/>
      <c r="M72" s="106" t="str">
        <f>HYPERLINK("https://github.com/mostafa-saad/MyCompetitiveProgramming/blob/master/Codeforces/CF195-D2-C-Ahmed%20Osama.pdf","Editorial - Eng Ahmed Osama")</f>
        <v>Editorial - Eng Ahmed Osama</v>
      </c>
    </row>
    <row r="73">
      <c r="A73" s="110" t="s">
        <v>775</v>
      </c>
      <c r="B73" s="152" t="str">
        <f>HYPERLINK("http://codeforces.com/contest/569/problem/C","CF569-D2-C")</f>
        <v>CF569-D2-C</v>
      </c>
      <c r="C73" s="185"/>
      <c r="D73" s="185"/>
      <c r="E73" s="185"/>
      <c r="F73" s="185"/>
      <c r="G73" s="185"/>
      <c r="H73" s="186"/>
      <c r="I73" s="81">
        <f t="shared" si="2"/>
        <v>0</v>
      </c>
      <c r="J73" s="86"/>
      <c r="K73" s="80"/>
      <c r="L73" s="47"/>
      <c r="M73" s="47"/>
    </row>
    <row r="74">
      <c r="A74" s="192" t="s">
        <v>776</v>
      </c>
      <c r="B74" s="238" t="str">
        <f>HYPERLINK("http://codeforces.com/contest/257/problem/C","CF257-D2-C")</f>
        <v>CF257-D2-C</v>
      </c>
      <c r="C74" s="185"/>
      <c r="D74" s="185"/>
      <c r="E74" s="185"/>
      <c r="F74" s="185"/>
      <c r="G74" s="185"/>
      <c r="H74" s="186"/>
      <c r="I74" s="81">
        <f t="shared" si="2"/>
        <v>0</v>
      </c>
      <c r="J74" s="86"/>
      <c r="K74" s="80"/>
      <c r="L74" s="120"/>
      <c r="M74" s="106" t="str">
        <f>HYPERLINK("https://github.com/mostafa-saad/MyCompetitiveProgramming/blob/master/Codeforces/CF257-D2-C-AhmedOsama.pdf","Editorial - Eng Ahmed Osama")</f>
        <v>Editorial - Eng Ahmed Osama</v>
      </c>
    </row>
    <row r="75">
      <c r="A75" s="242" t="s">
        <v>777</v>
      </c>
      <c r="B75" s="49" t="str">
        <f>HYPERLINK("http://codeforces.com/contest/454/problem/B","CF454-D2-B")</f>
        <v>CF454-D2-B</v>
      </c>
      <c r="C75" s="185"/>
      <c r="D75" s="185"/>
      <c r="E75" s="185"/>
      <c r="F75" s="185"/>
      <c r="G75" s="185"/>
      <c r="H75" s="186"/>
      <c r="I75" s="81">
        <f t="shared" si="2"/>
        <v>0</v>
      </c>
      <c r="J75" s="86"/>
      <c r="K75" s="80"/>
      <c r="L75" s="120"/>
      <c r="M75" s="151"/>
    </row>
    <row r="76">
      <c r="A76" s="151"/>
      <c r="B76" s="151"/>
      <c r="C76" s="185"/>
      <c r="D76" s="185"/>
      <c r="E76" s="185"/>
      <c r="F76" s="185"/>
      <c r="G76" s="185"/>
      <c r="H76" s="186"/>
      <c r="I76" s="81">
        <f t="shared" si="2"/>
        <v>0</v>
      </c>
      <c r="J76" s="86"/>
      <c r="K76" s="80"/>
      <c r="L76" s="120"/>
      <c r="M76" s="187" t="str">
        <f>HYPERLINK("https://www.youtube.com/watch?v=uKSLJw0ZUd8","Watch - Thinking - Error Inspection - History - Contest Strategy ")</f>
        <v>Watch - Thinking - Error Inspection - History - Contest Strategy </v>
      </c>
    </row>
    <row r="77">
      <c r="A77" s="151"/>
      <c r="B77" s="151"/>
      <c r="C77" s="185"/>
      <c r="D77" s="185"/>
      <c r="E77" s="185"/>
      <c r="F77" s="185"/>
      <c r="G77" s="185"/>
      <c r="H77" s="186"/>
      <c r="I77" s="81">
        <f t="shared" si="2"/>
        <v>0</v>
      </c>
      <c r="J77" s="86"/>
      <c r="K77" s="80"/>
      <c r="L77" s="120"/>
      <c r="M77" s="191" t="str">
        <f>HYPERLINK("https://www.youtube.com/watch?v=s3IGwpJwCTA","Watch - DP - Building Output")</f>
        <v>Watch - DP - Building Output</v>
      </c>
    </row>
    <row r="78">
      <c r="A78" s="146" t="s">
        <v>778</v>
      </c>
      <c r="B78" s="251" t="str">
        <f>HYPERLINK("https://uva.onlinejudge.org/index.php?option=com_onlinejudge&amp;Itemid=8&amp;page=show_problem&amp;problem=52","UVA 116")</f>
        <v>UVA 116</v>
      </c>
      <c r="C78" s="185"/>
      <c r="D78" s="185"/>
      <c r="E78" s="185"/>
      <c r="F78" s="185"/>
      <c r="G78" s="185"/>
      <c r="H78" s="186"/>
      <c r="I78" s="81">
        <f t="shared" si="2"/>
        <v>0</v>
      </c>
      <c r="J78" s="86"/>
      <c r="K78" s="80"/>
      <c r="L78" s="47"/>
      <c r="M78" s="151"/>
    </row>
    <row r="79">
      <c r="A79" s="146" t="s">
        <v>779</v>
      </c>
      <c r="B79" s="251" t="str">
        <f>HYPERLINK("https://uva.onlinejudge.org/index.php?option=com_onlinejudge&amp;Itemid=8&amp;page=show_problem&amp;problem=1394","UVA 10453")</f>
        <v>UVA 10453</v>
      </c>
      <c r="C79" s="185"/>
      <c r="D79" s="185"/>
      <c r="E79" s="185"/>
      <c r="F79" s="185"/>
      <c r="G79" s="185"/>
      <c r="H79" s="186"/>
      <c r="I79" s="81">
        <f t="shared" si="2"/>
        <v>0</v>
      </c>
      <c r="J79" s="86"/>
      <c r="K79" s="80"/>
      <c r="L79" s="120"/>
      <c r="M79" s="238" t="str">
        <f>HYPERLINK("https://github.com/ilyesG/Competitive-Programming/blob/master/UVA/UVA%2010453.cpp","Sol")</f>
        <v>Sol</v>
      </c>
    </row>
    <row r="80">
      <c r="A80" s="146" t="s">
        <v>780</v>
      </c>
      <c r="B80" s="251" t="str">
        <f>HYPERLINK("https://uva.onlinejudge.org/index.php?option=com_onlinejudge&amp;Itemid=8&amp;page=show_problem&amp;problem=603","UVA 662")</f>
        <v>UVA 662</v>
      </c>
      <c r="C80" s="185"/>
      <c r="D80" s="185"/>
      <c r="E80" s="185"/>
      <c r="F80" s="185"/>
      <c r="G80" s="185"/>
      <c r="H80" s="186"/>
      <c r="I80" s="81">
        <f t="shared" si="2"/>
        <v>0</v>
      </c>
      <c r="J80" s="86"/>
      <c r="K80" s="80"/>
      <c r="L80" s="120"/>
      <c r="M80" s="151"/>
    </row>
    <row r="81">
      <c r="A81" s="146" t="s">
        <v>781</v>
      </c>
      <c r="B81" s="251" t="str">
        <f>HYPERLINK("https://uva.onlinejudge.org/index.php?option=onlinejudge&amp;page=show_problem&amp;problem=2399","UVA 11404")</f>
        <v>UVA 11404</v>
      </c>
      <c r="C81" s="185"/>
      <c r="D81" s="185"/>
      <c r="E81" s="185"/>
      <c r="F81" s="185"/>
      <c r="G81" s="185"/>
      <c r="H81" s="186"/>
      <c r="I81" s="81">
        <f t="shared" si="2"/>
        <v>0</v>
      </c>
      <c r="J81" s="86"/>
      <c r="K81" s="80"/>
      <c r="L81" s="185"/>
      <c r="M81" s="151"/>
    </row>
    <row r="82">
      <c r="A82" s="146" t="s">
        <v>782</v>
      </c>
      <c r="B82" s="251" t="str">
        <f>HYPERLINK("https://uva.onlinejudge.org/index.php?option=com_onlinejudge&amp;Itemid=8&amp;page=show_problem&amp;problem=698","UVA 757")</f>
        <v>UVA 757</v>
      </c>
      <c r="C82" s="185"/>
      <c r="D82" s="185"/>
      <c r="E82" s="185"/>
      <c r="F82" s="185"/>
      <c r="G82" s="185"/>
      <c r="H82" s="186"/>
      <c r="I82" s="81">
        <f t="shared" si="2"/>
        <v>0</v>
      </c>
      <c r="J82" s="86"/>
      <c r="K82" s="80"/>
      <c r="L82" s="185"/>
      <c r="M82" s="106" t="str">
        <f>HYPERLINK("https://github.com/magdy-hasan/competitive-programming/blob/master/uva-/uva%20757%20-%20Gone%20Fishing.cpp","Sol to read")</f>
        <v>Sol to read</v>
      </c>
    </row>
    <row r="83">
      <c r="A83" s="138" t="s">
        <v>783</v>
      </c>
      <c r="B83" s="139" t="str">
        <f>HYPERLINK("http://codeforces.com/contest/199/problem/B","CF199-D2-B")</f>
        <v>CF199-D2-B</v>
      </c>
      <c r="C83" s="185"/>
      <c r="D83" s="185"/>
      <c r="E83" s="185"/>
      <c r="F83" s="185"/>
      <c r="G83" s="185"/>
      <c r="H83" s="186"/>
      <c r="I83" s="81">
        <f t="shared" si="2"/>
        <v>0</v>
      </c>
      <c r="J83" s="86"/>
      <c r="K83" s="80"/>
      <c r="L83" s="185"/>
      <c r="M83" s="151"/>
    </row>
    <row r="84">
      <c r="A84" s="138" t="s">
        <v>784</v>
      </c>
      <c r="B84" s="199" t="str">
        <f>HYPERLINK("https://uva.onlinejudge.org/index.php?option=onlinejudge&amp;page=show_problem&amp;problem=1242","UVA 10301")</f>
        <v>UVA 10301</v>
      </c>
      <c r="C84" s="185"/>
      <c r="D84" s="185"/>
      <c r="E84" s="185"/>
      <c r="F84" s="185"/>
      <c r="G84" s="185"/>
      <c r="H84" s="186"/>
      <c r="I84" s="81">
        <f t="shared" si="2"/>
        <v>0</v>
      </c>
      <c r="J84" s="86"/>
      <c r="K84" s="80"/>
      <c r="L84" s="185"/>
      <c r="M84" s="238" t="str">
        <f>HYPERLINK("https://github.com/MeGaCrazy/CompetitiveProgramming/blob/51252e18803855ed2eacedc50f53b90fe8d184e6/UVA/UVA_10301.cpp","Sol")</f>
        <v>Sol</v>
      </c>
    </row>
    <row r="85">
      <c r="A85" s="151"/>
      <c r="B85" s="151"/>
      <c r="C85" s="185"/>
      <c r="D85" s="185"/>
      <c r="E85" s="185"/>
      <c r="F85" s="185"/>
      <c r="G85" s="185"/>
      <c r="H85" s="186"/>
      <c r="I85" s="81">
        <f t="shared" si="2"/>
        <v>0</v>
      </c>
      <c r="J85" s="86"/>
      <c r="K85" s="80"/>
      <c r="L85" s="185"/>
      <c r="M85" s="191" t="str">
        <f>HYPERLINK("https://www.youtube.com/watch?v=lE09Ss_Sy0A","Watch - DP - Counting")</f>
        <v>Watch - DP - Counting</v>
      </c>
    </row>
    <row r="86">
      <c r="A86" s="146" t="s">
        <v>785</v>
      </c>
      <c r="B86" s="210" t="str">
        <f>HYPERLINK("http://codeforces.com/contest/431/problem/C","CF431-D2-C")</f>
        <v>CF431-D2-C</v>
      </c>
      <c r="C86" s="185"/>
      <c r="D86" s="185"/>
      <c r="E86" s="185"/>
      <c r="F86" s="185"/>
      <c r="G86" s="185"/>
      <c r="H86" s="186"/>
      <c r="I86" s="81">
        <f t="shared" si="2"/>
        <v>0</v>
      </c>
      <c r="J86" s="86"/>
      <c r="K86" s="80"/>
      <c r="L86" s="50"/>
      <c r="M86" s="106" t="str">
        <f>HYPERLINK("https://www.youtube.com/watch?v=M7UEOmsCxuQ","Video Solution - Solver to be (Java)")</f>
        <v>Video Solution - Solver to be (Java)</v>
      </c>
    </row>
    <row r="87">
      <c r="A87" s="275" t="s">
        <v>786</v>
      </c>
      <c r="B87" s="276" t="str">
        <f>HYPERLINK("http://codeforces.com/contest/118/problem/D","CF118-D2-D")</f>
        <v>CF118-D2-D</v>
      </c>
      <c r="C87" s="185"/>
      <c r="D87" s="185"/>
      <c r="E87" s="185"/>
      <c r="F87" s="185"/>
      <c r="G87" s="185"/>
      <c r="H87" s="186"/>
      <c r="I87" s="81">
        <f t="shared" si="2"/>
        <v>0</v>
      </c>
      <c r="J87" s="86"/>
      <c r="K87" s="80"/>
      <c r="L87" s="185"/>
      <c r="M87" s="277"/>
    </row>
    <row r="88">
      <c r="A88" s="278" t="str">
        <f>HYPERLINK("https://community.topcoder.com/stat?c=problem_statement&amp;pm=4471&amp;rd=10711","UnsealTheSafe")</f>
        <v>UnsealTheSafe</v>
      </c>
      <c r="B88" s="279" t="s">
        <v>787</v>
      </c>
      <c r="C88" s="185"/>
      <c r="D88" s="185"/>
      <c r="E88" s="185"/>
      <c r="F88" s="185"/>
      <c r="G88" s="185"/>
      <c r="H88" s="186"/>
      <c r="I88" s="81">
        <f t="shared" si="2"/>
        <v>0</v>
      </c>
      <c r="J88" s="86"/>
      <c r="K88" s="80"/>
      <c r="L88" s="185"/>
      <c r="M88" s="277"/>
    </row>
    <row r="89">
      <c r="A89" s="210" t="str">
        <f>HYPERLINK("https://community.topcoder.com/stat?c=problem_statement&amp;pm=7601&amp;rd=10673","DiceGames")</f>
        <v>DiceGames</v>
      </c>
      <c r="B89" s="146" t="s">
        <v>788</v>
      </c>
      <c r="C89" s="185"/>
      <c r="D89" s="185"/>
      <c r="E89" s="185"/>
      <c r="F89" s="185"/>
      <c r="G89" s="185"/>
      <c r="H89" s="186"/>
      <c r="I89" s="81">
        <f t="shared" si="2"/>
        <v>0</v>
      </c>
      <c r="J89" s="117"/>
      <c r="K89" s="116"/>
      <c r="L89" s="50"/>
      <c r="M89" s="47"/>
    </row>
    <row r="90">
      <c r="A90" s="197"/>
      <c r="B90" s="138" t="s">
        <v>789</v>
      </c>
      <c r="C90" s="185"/>
      <c r="D90" s="185"/>
      <c r="E90" s="185"/>
      <c r="F90" s="185"/>
      <c r="G90" s="185"/>
      <c r="H90" s="186"/>
      <c r="I90" s="81">
        <f t="shared" si="2"/>
        <v>0</v>
      </c>
      <c r="J90" s="86"/>
      <c r="K90" s="80"/>
      <c r="L90" s="185"/>
      <c r="M90" s="238" t="str">
        <f>HYPERLINK("https://github.com/mostafa-saad/MyCompetitiveProgramming/blob/master/SPOJ/SPOJ_TWINSNOW.txt","Sol - text clarification")</f>
        <v>Sol - text clarification</v>
      </c>
    </row>
    <row r="91">
      <c r="A91" s="197"/>
      <c r="B91" s="138" t="s">
        <v>790</v>
      </c>
      <c r="C91" s="185"/>
      <c r="D91" s="185"/>
      <c r="E91" s="185"/>
      <c r="F91" s="185"/>
      <c r="G91" s="185"/>
      <c r="H91" s="186"/>
      <c r="I91" s="81">
        <f t="shared" si="2"/>
        <v>0</v>
      </c>
      <c r="J91" s="86"/>
      <c r="K91" s="80"/>
      <c r="L91" s="185"/>
      <c r="M91" s="238" t="str">
        <f>HYPERLINK("https://github.com/mostafa-saad/MyCompetitiveProgramming/blob/master/SPOJ/SPOJ_FACENEMY.txt","Sol")</f>
        <v>Sol</v>
      </c>
    </row>
    <row r="92">
      <c r="A92" s="151"/>
      <c r="B92" s="151"/>
      <c r="C92" s="185"/>
      <c r="D92" s="185"/>
      <c r="E92" s="185"/>
      <c r="F92" s="185"/>
      <c r="G92" s="185"/>
      <c r="H92" s="186"/>
      <c r="I92" s="81">
        <f t="shared" si="2"/>
        <v>0</v>
      </c>
      <c r="J92" s="86"/>
      <c r="K92" s="80"/>
      <c r="L92" s="185"/>
      <c r="M92" s="277"/>
    </row>
    <row r="93">
      <c r="A93" s="110" t="s">
        <v>791</v>
      </c>
      <c r="B93" s="152" t="str">
        <f>HYPERLINK("http://codeforces.com/contest/465/problem/C","CF465-D2-C")</f>
        <v>CF465-D2-C</v>
      </c>
      <c r="C93" s="185"/>
      <c r="D93" s="185"/>
      <c r="E93" s="185"/>
      <c r="F93" s="185"/>
      <c r="G93" s="185"/>
      <c r="H93" s="186"/>
      <c r="I93" s="81">
        <f t="shared" si="2"/>
        <v>0</v>
      </c>
      <c r="J93" s="117"/>
      <c r="K93" s="116"/>
      <c r="L93" s="50"/>
      <c r="M93" s="50"/>
    </row>
    <row r="94">
      <c r="A94" s="110" t="s">
        <v>792</v>
      </c>
      <c r="B94" s="152" t="str">
        <f>HYPERLINK("http://codeforces.com/contest/408/problem/C","CF408-D2-C")</f>
        <v>CF408-D2-C</v>
      </c>
      <c r="C94" s="185"/>
      <c r="D94" s="185"/>
      <c r="E94" s="185"/>
      <c r="F94" s="185"/>
      <c r="G94" s="185"/>
      <c r="H94" s="186"/>
      <c r="I94" s="81">
        <f t="shared" si="2"/>
        <v>0</v>
      </c>
      <c r="J94" s="117"/>
      <c r="K94" s="116"/>
      <c r="L94" s="50"/>
      <c r="M94" s="50"/>
    </row>
    <row r="95">
      <c r="A95" s="110" t="s">
        <v>793</v>
      </c>
      <c r="B95" s="152" t="str">
        <f>HYPERLINK("http://codeforces.com/contest/231/problem/C","CF231-D2-C")</f>
        <v>CF231-D2-C</v>
      </c>
      <c r="C95" s="185"/>
      <c r="D95" s="185"/>
      <c r="E95" s="185"/>
      <c r="F95" s="185"/>
      <c r="G95" s="185"/>
      <c r="H95" s="186"/>
      <c r="I95" s="81">
        <f t="shared" si="2"/>
        <v>0</v>
      </c>
      <c r="J95" s="117"/>
      <c r="K95" s="116"/>
      <c r="L95" s="50"/>
      <c r="M95" s="50"/>
    </row>
    <row r="96">
      <c r="A96" s="107" t="s">
        <v>794</v>
      </c>
      <c r="B96" s="280" t="str">
        <f>HYPERLINK("http://codeforces.com/contest/466/problem/C","CF466-D2-C")</f>
        <v>CF466-D2-C</v>
      </c>
      <c r="C96" s="185"/>
      <c r="D96" s="185"/>
      <c r="E96" s="185"/>
      <c r="F96" s="185"/>
      <c r="G96" s="185"/>
      <c r="H96" s="186"/>
      <c r="I96" s="81">
        <f t="shared" si="2"/>
        <v>0</v>
      </c>
      <c r="J96" s="86"/>
      <c r="K96" s="80"/>
      <c r="L96" s="185"/>
      <c r="M96" s="106" t="str">
        <f>HYPERLINK("https://www.youtube.com/watch?v=8G06-YDc2-I","Video Solution - Solver to be (Java)")</f>
        <v>Video Solution - Solver to be (Java)</v>
      </c>
    </row>
    <row r="97">
      <c r="A97" s="192" t="s">
        <v>649</v>
      </c>
      <c r="B97" s="238" t="str">
        <f>HYPERLINK("http://codeforces.com/contest/141/problem/C","CF141-D2-C")</f>
        <v>CF141-D2-C</v>
      </c>
      <c r="C97" s="185"/>
      <c r="D97" s="185"/>
      <c r="E97" s="185"/>
      <c r="F97" s="185"/>
      <c r="G97" s="185"/>
      <c r="H97" s="186"/>
      <c r="I97" s="81">
        <f t="shared" si="2"/>
        <v>0</v>
      </c>
      <c r="J97" s="86"/>
      <c r="K97" s="80"/>
      <c r="L97" s="185"/>
      <c r="M97" s="151"/>
    </row>
    <row r="98">
      <c r="A98" s="192" t="s">
        <v>795</v>
      </c>
      <c r="B98" s="238" t="str">
        <f>HYPERLINK("http://codeforces.com/contest/270/problem/C","CF270-D2-C")</f>
        <v>CF270-D2-C</v>
      </c>
      <c r="C98" s="185"/>
      <c r="D98" s="185"/>
      <c r="E98" s="185"/>
      <c r="F98" s="185"/>
      <c r="G98" s="185"/>
      <c r="H98" s="186"/>
      <c r="I98" s="81">
        <f t="shared" si="2"/>
        <v>0</v>
      </c>
      <c r="J98" s="86"/>
      <c r="K98" s="80"/>
      <c r="L98" s="185"/>
      <c r="M98" s="110"/>
    </row>
    <row r="99">
      <c r="A99" s="192" t="s">
        <v>796</v>
      </c>
      <c r="B99" s="238" t="str">
        <f>HYPERLINK("http://codeforces.com/contest/160/problem/C","CF160-D2-C")</f>
        <v>CF160-D2-C</v>
      </c>
      <c r="C99" s="185"/>
      <c r="D99" s="185"/>
      <c r="E99" s="185"/>
      <c r="F99" s="185"/>
      <c r="G99" s="185"/>
      <c r="H99" s="186"/>
      <c r="I99" s="81">
        <f t="shared" si="2"/>
        <v>0</v>
      </c>
      <c r="J99" s="86"/>
      <c r="K99" s="80"/>
      <c r="L99" s="185"/>
      <c r="M99" s="151"/>
    </row>
    <row r="100">
      <c r="A100" s="242" t="s">
        <v>797</v>
      </c>
      <c r="B100" s="49" t="str">
        <f>HYPERLINK("http://codeforces.com/contest/384/problem/B","CF384-D2-B")</f>
        <v>CF384-D2-B</v>
      </c>
      <c r="C100" s="185"/>
      <c r="D100" s="185"/>
      <c r="E100" s="185"/>
      <c r="F100" s="185"/>
      <c r="G100" s="185"/>
      <c r="H100" s="186"/>
      <c r="I100" s="81">
        <f t="shared" si="2"/>
        <v>0</v>
      </c>
      <c r="J100" s="86"/>
      <c r="K100" s="80"/>
      <c r="L100" s="185"/>
      <c r="M100" s="151"/>
    </row>
    <row r="101">
      <c r="A101" s="242" t="s">
        <v>798</v>
      </c>
      <c r="B101" s="49" t="str">
        <f>HYPERLINK("http://codeforces.com/contest/233/problem/B","CF233-D2-B")</f>
        <v>CF233-D2-B</v>
      </c>
      <c r="C101" s="185"/>
      <c r="D101" s="185"/>
      <c r="E101" s="185"/>
      <c r="F101" s="185"/>
      <c r="G101" s="185"/>
      <c r="H101" s="186"/>
      <c r="I101" s="81">
        <f t="shared" si="2"/>
        <v>0</v>
      </c>
      <c r="J101" s="86"/>
      <c r="K101" s="80"/>
      <c r="L101" s="185"/>
      <c r="M101" s="151"/>
    </row>
    <row r="102">
      <c r="A102" s="151"/>
      <c r="B102" s="151"/>
      <c r="C102" s="185"/>
      <c r="D102" s="185"/>
      <c r="E102" s="185"/>
      <c r="F102" s="185"/>
      <c r="G102" s="185"/>
      <c r="H102" s="186"/>
      <c r="I102" s="81">
        <f t="shared" si="2"/>
        <v>0</v>
      </c>
      <c r="J102" s="86"/>
      <c r="K102" s="80"/>
      <c r="L102" s="185"/>
      <c r="M102" s="191" t="str">
        <f>HYPERLINK("https://www.youtube.com/watch?v=f_lt366qTZc","Watch - Thinking - Let's Put All Together ")</f>
        <v>Watch - Thinking - Let's Put All Together </v>
      </c>
    </row>
    <row r="103">
      <c r="A103" s="151"/>
      <c r="B103" s="151"/>
      <c r="C103" s="185"/>
      <c r="D103" s="185"/>
      <c r="E103" s="185"/>
      <c r="F103" s="185"/>
      <c r="G103" s="185"/>
      <c r="H103" s="186"/>
      <c r="I103" s="81">
        <f t="shared" si="2"/>
        <v>0</v>
      </c>
      <c r="J103" s="86"/>
      <c r="K103" s="80"/>
      <c r="L103" s="185"/>
      <c r="M103" s="191" t="str">
        <f>HYPERLINK("https://www.youtube.com/watch?v=PrXbn8-zw14","Watch - DP - Table Method")</f>
        <v>Watch - DP - Table Method</v>
      </c>
    </row>
    <row r="104">
      <c r="A104" s="151"/>
      <c r="B104" s="151"/>
      <c r="C104" s="185"/>
      <c r="D104" s="185"/>
      <c r="E104" s="185"/>
      <c r="F104" s="185"/>
      <c r="G104" s="185"/>
      <c r="H104" s="186"/>
      <c r="I104" s="81">
        <f t="shared" si="2"/>
        <v>0</v>
      </c>
      <c r="J104" s="86"/>
      <c r="K104" s="80"/>
      <c r="L104" s="185"/>
      <c r="M104" s="191" t="str">
        <f>HYPERLINK("https://www.youtube.com/watch?v=ZIJLCVn4KzQ","Watch - Graph Theory - Floyd Warshal")</f>
        <v>Watch - Graph Theory - Floyd Warshal</v>
      </c>
    </row>
    <row r="105">
      <c r="A105" s="146" t="s">
        <v>799</v>
      </c>
      <c r="B105" s="251" t="str">
        <f>HYPERLINK("https://uva.onlinejudge.org/index.php?option=com_onlinejudge&amp;Itemid=8&amp;page=show_problem&amp;problem=475","UVA 534")</f>
        <v>UVA 534</v>
      </c>
      <c r="C105" s="185"/>
      <c r="D105" s="185"/>
      <c r="E105" s="185"/>
      <c r="F105" s="185"/>
      <c r="G105" s="185"/>
      <c r="H105" s="186"/>
      <c r="I105" s="81">
        <f t="shared" si="2"/>
        <v>0</v>
      </c>
      <c r="J105" s="86"/>
      <c r="K105" s="80"/>
      <c r="L105" s="185"/>
      <c r="M105" s="238" t="str">
        <f>HYPERLINK("https://github.com/ilyesG/Competitive-Programming/blob/master/UVA/UVA%20534.cpp","Sol")</f>
        <v>Sol</v>
      </c>
    </row>
    <row r="106">
      <c r="A106" s="146" t="s">
        <v>800</v>
      </c>
      <c r="B106" s="251" t="str">
        <f>HYPERLINK("https://uva.onlinejudge.org/index.php?option=com_onlinejudge&amp;Itemid=8&amp;page=show_problem&amp;problem=270","UVA 334")</f>
        <v>UVA 334</v>
      </c>
      <c r="C106" s="185"/>
      <c r="D106" s="185"/>
      <c r="E106" s="185"/>
      <c r="F106" s="185"/>
      <c r="G106" s="185"/>
      <c r="H106" s="186"/>
      <c r="I106" s="81">
        <f t="shared" si="2"/>
        <v>0</v>
      </c>
      <c r="J106" s="86"/>
      <c r="K106" s="80"/>
      <c r="L106" s="185"/>
      <c r="M106" s="87"/>
    </row>
    <row r="107">
      <c r="A107" s="146" t="s">
        <v>801</v>
      </c>
      <c r="B107" s="251" t="str">
        <f>HYPERLINK("https://uva.onlinejudge.org/index.php?option=onlinejudge&amp;page=show_problem&amp;problem=61","UVA 125")</f>
        <v>UVA 125</v>
      </c>
      <c r="C107" s="185"/>
      <c r="D107" s="185"/>
      <c r="E107" s="185"/>
      <c r="F107" s="185"/>
      <c r="G107" s="185"/>
      <c r="H107" s="186"/>
      <c r="I107" s="81">
        <f t="shared" si="2"/>
        <v>0</v>
      </c>
      <c r="J107" s="86"/>
      <c r="K107" s="80"/>
      <c r="L107" s="185"/>
      <c r="M107" s="238" t="str">
        <f>HYPERLINK("https://github.com/mostafa-saad/MyCompetitiveProgramming/blob/master/UVA/UVA_125.txt","Sol")</f>
        <v>Sol</v>
      </c>
    </row>
    <row r="108">
      <c r="A108" s="196" t="s">
        <v>802</v>
      </c>
      <c r="B108" s="281" t="str">
        <f>HYPERLINK("https://uva.onlinejudge.org/index.php?option=com_onlinejudge&amp;Itemid=8&amp;page=show_problem&amp;problem=209","UVA 273")</f>
        <v>UVA 273</v>
      </c>
      <c r="C108" s="185"/>
      <c r="D108" s="185"/>
      <c r="E108" s="185"/>
      <c r="F108" s="185"/>
      <c r="G108" s="185"/>
      <c r="H108" s="186"/>
      <c r="I108" s="81">
        <f t="shared" si="2"/>
        <v>0</v>
      </c>
      <c r="J108" s="117"/>
      <c r="K108" s="116"/>
      <c r="L108" s="50"/>
      <c r="M108" s="238" t="str">
        <f>HYPERLINK("https://github.com/MeGaCrazy/CompetitiveProgramming/blob/6c8e6d79950bbe406f56e3b990159810fcca7431/UVA/UVA_273.cpp","Sol")</f>
        <v>Sol</v>
      </c>
    </row>
    <row r="109">
      <c r="A109" s="196" t="s">
        <v>803</v>
      </c>
      <c r="B109" s="197" t="str">
        <f>HYPERLINK("https://uva.onlinejudge.org/index.php?option=onlinejudge&amp;page=show_problem&amp;problem=1041","UVA 10100")</f>
        <v>UVA 10100</v>
      </c>
      <c r="C109" s="185"/>
      <c r="D109" s="185"/>
      <c r="E109" s="185"/>
      <c r="F109" s="185"/>
      <c r="G109" s="185"/>
      <c r="H109" s="186"/>
      <c r="I109" s="81">
        <f t="shared" si="2"/>
        <v>0</v>
      </c>
      <c r="J109" s="86"/>
      <c r="K109" s="80"/>
      <c r="L109" s="185"/>
      <c r="M109" s="253" t="s">
        <v>625</v>
      </c>
    </row>
    <row r="110">
      <c r="A110" s="196" t="s">
        <v>804</v>
      </c>
      <c r="B110" s="197" t="str">
        <f>HYPERLINK("https://uva.onlinejudge.org/index.php?option=com_onlinejudge&amp;Itemid=8&amp;page=show_problem&amp;problem=2318","UVA 11343")</f>
        <v>UVA 11343</v>
      </c>
      <c r="C110" s="185"/>
      <c r="D110" s="185"/>
      <c r="E110" s="185"/>
      <c r="F110" s="185"/>
      <c r="G110" s="185"/>
      <c r="H110" s="186"/>
      <c r="I110" s="81">
        <f t="shared" si="2"/>
        <v>0</v>
      </c>
      <c r="J110" s="86"/>
      <c r="K110" s="80"/>
      <c r="L110" s="185"/>
      <c r="M110" s="238" t="str">
        <f>HYPERLINK("https://github.com/hosamk92/CompetitiveProgramming/blob/master/UVA/UVA%2011343.cpp","Sol")</f>
        <v>Sol</v>
      </c>
    </row>
    <row r="111">
      <c r="A111" s="196" t="s">
        <v>805</v>
      </c>
      <c r="B111" s="197" t="str">
        <f>HYPERLINK("https://uva.onlinejudge.org/index.php?option=com_onlinejudge&amp;Itemid=8&amp;page=show_problem&amp;problem=1139","UVA 10198")</f>
        <v>UVA 10198</v>
      </c>
      <c r="C111" s="185"/>
      <c r="D111" s="185"/>
      <c r="E111" s="185"/>
      <c r="F111" s="185"/>
      <c r="G111" s="185"/>
      <c r="H111" s="186"/>
      <c r="I111" s="81">
        <f t="shared" si="2"/>
        <v>0</v>
      </c>
      <c r="J111" s="86"/>
      <c r="K111" s="80"/>
      <c r="L111" s="185"/>
      <c r="M111" s="282"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151"/>
      <c r="B112" s="151"/>
      <c r="C112" s="185"/>
      <c r="D112" s="185"/>
      <c r="E112" s="185"/>
      <c r="F112" s="185"/>
      <c r="G112" s="185"/>
      <c r="H112" s="186"/>
      <c r="I112" s="81">
        <f t="shared" si="2"/>
        <v>0</v>
      </c>
      <c r="J112" s="86"/>
      <c r="K112" s="80"/>
      <c r="L112" s="185"/>
      <c r="M112" s="151"/>
    </row>
    <row r="113">
      <c r="A113" s="110" t="s">
        <v>806</v>
      </c>
      <c r="B113" s="152" t="str">
        <f>HYPERLINK("http://codeforces.com/contest/349/problem/C","CF349-D2-C")</f>
        <v>CF349-D2-C</v>
      </c>
      <c r="C113" s="185"/>
      <c r="D113" s="185"/>
      <c r="E113" s="185"/>
      <c r="F113" s="185"/>
      <c r="G113" s="185"/>
      <c r="H113" s="186"/>
      <c r="I113" s="81">
        <f t="shared" si="2"/>
        <v>0</v>
      </c>
      <c r="J113" s="117"/>
      <c r="K113" s="116"/>
      <c r="L113" s="50"/>
      <c r="M113" s="47"/>
    </row>
    <row r="114">
      <c r="A114" s="110" t="s">
        <v>807</v>
      </c>
      <c r="B114" s="152" t="str">
        <f>HYPERLINK("http://codeforces.com/contest/381/problem/C","CF381-D2-C")</f>
        <v>CF381-D2-C</v>
      </c>
      <c r="C114" s="185"/>
      <c r="D114" s="185"/>
      <c r="E114" s="185"/>
      <c r="F114" s="185"/>
      <c r="G114" s="185"/>
      <c r="H114" s="186"/>
      <c r="I114" s="81">
        <f t="shared" si="2"/>
        <v>0</v>
      </c>
      <c r="J114" s="117"/>
      <c r="K114" s="116"/>
      <c r="L114" s="50"/>
      <c r="M114" s="47"/>
    </row>
    <row r="115">
      <c r="A115" s="110" t="s">
        <v>808</v>
      </c>
      <c r="B115" s="152" t="str">
        <f>HYPERLINK("http://codeforces.com/contest/199/problem/C","CF199-D2-C")</f>
        <v>CF199-D2-C</v>
      </c>
      <c r="C115" s="185"/>
      <c r="D115" s="185"/>
      <c r="E115" s="185"/>
      <c r="F115" s="185"/>
      <c r="G115" s="185"/>
      <c r="H115" s="186"/>
      <c r="I115" s="81">
        <f t="shared" si="2"/>
        <v>0</v>
      </c>
      <c r="J115" s="117"/>
      <c r="K115" s="116"/>
      <c r="L115" s="50"/>
      <c r="M115" s="47"/>
    </row>
    <row r="116">
      <c r="A116" s="110" t="s">
        <v>809</v>
      </c>
      <c r="B116" s="152" t="str">
        <f>HYPERLINK("http://codeforces.com/contest/520/problem/C","CF520-D2-C")</f>
        <v>CF520-D2-C</v>
      </c>
      <c r="C116" s="185"/>
      <c r="D116" s="185"/>
      <c r="E116" s="185"/>
      <c r="F116" s="185"/>
      <c r="G116" s="185"/>
      <c r="H116" s="186"/>
      <c r="I116" s="81">
        <f t="shared" si="2"/>
        <v>0</v>
      </c>
      <c r="J116" s="117"/>
      <c r="K116" s="116"/>
      <c r="L116" s="50"/>
      <c r="M116" s="47"/>
    </row>
    <row r="117">
      <c r="A117" s="110" t="s">
        <v>810</v>
      </c>
      <c r="B117" s="152" t="str">
        <f>HYPERLINK("http://codeforces.com/contest/567/problem/C","CF567-D2-C")</f>
        <v>CF567-D2-C</v>
      </c>
      <c r="C117" s="185"/>
      <c r="D117" s="185"/>
      <c r="E117" s="185"/>
      <c r="F117" s="185"/>
      <c r="G117" s="185"/>
      <c r="H117" s="186"/>
      <c r="I117" s="81">
        <f t="shared" si="2"/>
        <v>0</v>
      </c>
      <c r="J117" s="117"/>
      <c r="K117" s="116"/>
      <c r="L117" s="50"/>
      <c r="M117" s="47"/>
    </row>
    <row r="118">
      <c r="A118" s="192" t="s">
        <v>811</v>
      </c>
      <c r="B118" s="238" t="str">
        <f>HYPERLINK("http://codeforces.com/contest/617/problem/C","CF617-D2-C")</f>
        <v>CF617-D2-C</v>
      </c>
      <c r="C118" s="185"/>
      <c r="D118" s="185"/>
      <c r="E118" s="185"/>
      <c r="F118" s="185"/>
      <c r="G118" s="185"/>
      <c r="H118" s="186"/>
      <c r="I118" s="81">
        <f t="shared" si="2"/>
        <v>0</v>
      </c>
      <c r="J118" s="86"/>
      <c r="K118" s="80"/>
      <c r="L118" s="185"/>
      <c r="M118" s="151"/>
    </row>
    <row r="119">
      <c r="A119" s="192" t="s">
        <v>812</v>
      </c>
      <c r="B119" s="238" t="str">
        <f>HYPERLINK("http://codeforces.com/contest/337/problem/C","CF337-D2-C")</f>
        <v>CF337-D2-C</v>
      </c>
      <c r="C119" s="185"/>
      <c r="D119" s="185"/>
      <c r="E119" s="185"/>
      <c r="F119" s="185"/>
      <c r="G119" s="185"/>
      <c r="H119" s="186"/>
      <c r="I119" s="81">
        <f t="shared" si="2"/>
        <v>0</v>
      </c>
      <c r="J119" s="86"/>
      <c r="K119" s="80"/>
      <c r="L119" s="185"/>
      <c r="M119" s="151"/>
    </row>
    <row r="120">
      <c r="A120" s="242" t="s">
        <v>813</v>
      </c>
      <c r="B120" s="49" t="str">
        <f>HYPERLINK("http://codeforces.com/contest/496/problem/B","CF496-D2-B")</f>
        <v>CF496-D2-B</v>
      </c>
      <c r="C120" s="185"/>
      <c r="D120" s="185"/>
      <c r="E120" s="185"/>
      <c r="F120" s="185"/>
      <c r="G120" s="185"/>
      <c r="H120" s="186"/>
      <c r="I120" s="81">
        <f t="shared" si="2"/>
        <v>0</v>
      </c>
      <c r="J120" s="86"/>
      <c r="K120" s="80"/>
      <c r="L120" s="185"/>
      <c r="M120" s="151"/>
    </row>
    <row r="121">
      <c r="A121" s="242" t="s">
        <v>814</v>
      </c>
      <c r="B121" s="49" t="str">
        <f>HYPERLINK("http://codeforces.com/contest/471/problem/B","CF471-D2-B")</f>
        <v>CF471-D2-B</v>
      </c>
      <c r="C121" s="185"/>
      <c r="D121" s="185"/>
      <c r="E121" s="185"/>
      <c r="F121" s="185"/>
      <c r="G121" s="185"/>
      <c r="H121" s="186"/>
      <c r="I121" s="81">
        <f t="shared" si="2"/>
        <v>0</v>
      </c>
      <c r="J121" s="86"/>
      <c r="K121" s="80"/>
      <c r="L121" s="185"/>
      <c r="M121" s="151"/>
    </row>
    <row r="122">
      <c r="A122" s="242" t="s">
        <v>815</v>
      </c>
      <c r="B122" s="49" t="str">
        <f>HYPERLINK("http://codeforces.com/contest/146/problem/B","CF146-D2-B")</f>
        <v>CF146-D2-B</v>
      </c>
      <c r="C122" s="185"/>
      <c r="D122" s="185"/>
      <c r="E122" s="185"/>
      <c r="F122" s="185"/>
      <c r="G122" s="185"/>
      <c r="H122" s="186"/>
      <c r="I122" s="81">
        <f t="shared" si="2"/>
        <v>0</v>
      </c>
      <c r="J122" s="86"/>
      <c r="K122" s="80"/>
      <c r="L122" s="185"/>
      <c r="M122" s="151"/>
    </row>
    <row r="123">
      <c r="A123" s="192"/>
      <c r="B123" s="87"/>
      <c r="C123" s="185"/>
      <c r="D123" s="185"/>
      <c r="E123" s="185"/>
      <c r="F123" s="185"/>
      <c r="G123" s="185"/>
      <c r="H123" s="186"/>
      <c r="I123" s="81">
        <f t="shared" si="2"/>
        <v>0</v>
      </c>
      <c r="J123" s="86"/>
      <c r="K123" s="80"/>
      <c r="L123" s="185"/>
      <c r="M123" s="151"/>
    </row>
    <row r="124">
      <c r="A124" s="87"/>
      <c r="B124" s="87"/>
      <c r="C124" s="185"/>
      <c r="D124" s="185"/>
      <c r="E124" s="185"/>
      <c r="F124" s="185"/>
      <c r="G124" s="185"/>
      <c r="H124" s="186"/>
      <c r="I124" s="81">
        <f t="shared" si="2"/>
        <v>0</v>
      </c>
      <c r="J124" s="86"/>
      <c r="K124" s="80"/>
      <c r="L124" s="185"/>
      <c r="M124" s="191" t="str">
        <f>HYPERLINK("https://www.youtube.com/watch?v=ZNYQrKpR42g","Watch - Measuring Algorithms Perfromance - 2")</f>
        <v>Watch - Measuring Algorithms Perfromance - 2</v>
      </c>
    </row>
    <row r="125">
      <c r="A125" s="87"/>
      <c r="B125" s="87"/>
      <c r="C125" s="185"/>
      <c r="D125" s="185"/>
      <c r="E125" s="185"/>
      <c r="F125" s="185"/>
      <c r="G125" s="185"/>
      <c r="H125" s="186"/>
      <c r="I125" s="81">
        <f t="shared" si="2"/>
        <v>0</v>
      </c>
      <c r="J125" s="86"/>
      <c r="K125" s="80"/>
      <c r="L125" s="185"/>
      <c r="M125" s="201" t="str">
        <f>HYPERLINK("https://www.youtube.com/watch?v=RASvnfG2SSE","Watch - Graph Theory - Tree Diameter and Isomorphism")</f>
        <v>Watch - Graph Theory - Tree Diameter and Isomorphism</v>
      </c>
    </row>
    <row r="126">
      <c r="A126" s="146" t="s">
        <v>816</v>
      </c>
      <c r="B126" s="210" t="str">
        <f>HYPERLINK("http://www.spoj.com/problems/PT07Z/","SPOJ PT07Z")</f>
        <v>SPOJ PT07Z</v>
      </c>
      <c r="C126" s="185"/>
      <c r="D126" s="185"/>
      <c r="E126" s="185"/>
      <c r="F126" s="185"/>
      <c r="G126" s="185"/>
      <c r="H126" s="186"/>
      <c r="I126" s="81">
        <f t="shared" si="2"/>
        <v>0</v>
      </c>
      <c r="J126" s="86"/>
      <c r="K126" s="80"/>
      <c r="L126" s="185"/>
      <c r="M126" s="238" t="str">
        <f>HYPERLINK("https://github.com/abdullaAshraf/Problem-Solving/blob/master/SPOJ/PT07Z.cpp","Sol")</f>
        <v>Sol</v>
      </c>
    </row>
    <row r="127">
      <c r="A127" s="146" t="s">
        <v>817</v>
      </c>
      <c r="B127" s="210" t="str">
        <f>HYPERLINK("https://uva.onlinejudge.org/index.php?option=com_onlinejudge&amp;Itemid=8&amp;page=show_problem&amp;problem=1249","UVA 10308")</f>
        <v>UVA 10308</v>
      </c>
      <c r="C127" s="185"/>
      <c r="D127" s="185"/>
      <c r="E127" s="185"/>
      <c r="F127" s="185"/>
      <c r="G127" s="185"/>
      <c r="H127" s="186"/>
      <c r="I127" s="81">
        <f t="shared" si="2"/>
        <v>0</v>
      </c>
      <c r="J127" s="86"/>
      <c r="K127" s="80"/>
      <c r="L127" s="185"/>
      <c r="M127" s="238" t="str">
        <f>HYPERLINK("https://github.com/ilyesG/Competitive-Programming/blob/master/UVA/UVA%2010308.cpp","Sol")</f>
        <v>Sol</v>
      </c>
    </row>
    <row r="128">
      <c r="A128" s="148" t="s">
        <v>818</v>
      </c>
      <c r="B128" s="244" t="str">
        <f>HYPERLINK("https://icpcarchive.ecs.baylor.edu/index.php?option=com_onlinejudge&amp;Itemid=8&amp;page=show_problem&amp;problem=936","LIVEARCHIVE 2935")</f>
        <v>LIVEARCHIVE 2935</v>
      </c>
      <c r="C128" s="185"/>
      <c r="D128" s="185"/>
      <c r="E128" s="185"/>
      <c r="F128" s="185"/>
      <c r="G128" s="185"/>
      <c r="H128" s="186"/>
      <c r="I128" s="81">
        <f t="shared" si="2"/>
        <v>0</v>
      </c>
      <c r="J128" s="86"/>
      <c r="K128" s="80"/>
      <c r="L128" s="185"/>
      <c r="M128" s="238" t="str">
        <f>HYPERLINK("https://github.com/mostafa-saad/MyCompetitiveProgramming/blob/master/LiveArchive/LiveArchive_2935.txt","Sol")</f>
        <v>Sol</v>
      </c>
    </row>
    <row r="129">
      <c r="A129" s="192"/>
      <c r="B129" s="87"/>
      <c r="C129" s="185"/>
      <c r="D129" s="185"/>
      <c r="E129" s="185"/>
      <c r="F129" s="185"/>
      <c r="G129" s="185"/>
      <c r="H129" s="186"/>
      <c r="I129" s="81">
        <f t="shared" si="2"/>
        <v>0</v>
      </c>
      <c r="J129" s="86"/>
      <c r="K129" s="80"/>
      <c r="L129" s="185"/>
      <c r="M129" s="151"/>
    </row>
    <row r="130">
      <c r="A130" s="110" t="s">
        <v>819</v>
      </c>
      <c r="B130" s="152" t="str">
        <f>HYPERLINK("http://codeforces.com/contest/294/problem/C","CF294-D2-C")</f>
        <v>CF294-D2-C</v>
      </c>
      <c r="C130" s="185"/>
      <c r="D130" s="185"/>
      <c r="E130" s="185"/>
      <c r="F130" s="185"/>
      <c r="G130" s="185"/>
      <c r="H130" s="186"/>
      <c r="I130" s="81">
        <f t="shared" si="2"/>
        <v>0</v>
      </c>
      <c r="J130" s="47"/>
      <c r="K130" s="50"/>
      <c r="L130" s="50"/>
      <c r="M130" s="152" t="str">
        <f>HYPERLINK("https://www.youtube.com/watch?v=xB6St1GAKUg","Video Solution - Dr Mostafa Saad")</f>
        <v>Video Solution - Dr Mostafa Saad</v>
      </c>
    </row>
    <row r="131">
      <c r="A131" s="192" t="s">
        <v>820</v>
      </c>
      <c r="B131" s="238" t="str">
        <f>HYPERLINK("http://codeforces.com/contest/721/problem/C","CF721-D2-C")</f>
        <v>CF721-D2-C</v>
      </c>
      <c r="C131" s="185"/>
      <c r="D131" s="185"/>
      <c r="E131" s="185"/>
      <c r="F131" s="185"/>
      <c r="G131" s="185"/>
      <c r="H131" s="186"/>
      <c r="I131" s="81">
        <f t="shared" si="2"/>
        <v>0</v>
      </c>
      <c r="J131" s="86"/>
      <c r="K131" s="80"/>
      <c r="L131" s="185"/>
      <c r="M131" s="151"/>
    </row>
    <row r="132">
      <c r="A132" s="110" t="s">
        <v>821</v>
      </c>
      <c r="B132" s="152" t="str">
        <f>HYPERLINK("http://codeforces.com/contest/474/problem/C","CF474-D2-C")</f>
        <v>CF474-D2-C</v>
      </c>
      <c r="C132" s="185"/>
      <c r="D132" s="185"/>
      <c r="E132" s="185"/>
      <c r="F132" s="185"/>
      <c r="G132" s="185"/>
      <c r="H132" s="186"/>
      <c r="I132" s="81">
        <f t="shared" si="2"/>
        <v>0</v>
      </c>
      <c r="J132" s="86"/>
      <c r="K132" s="80"/>
      <c r="L132" s="50"/>
      <c r="M132" s="106" t="str">
        <f>HYPERLINK("https://www.youtube.com/watch?v=TpRObCQT9Lw","Video Solution - Dr Mostafa Saad")</f>
        <v>Video Solution - Dr Mostafa Saad</v>
      </c>
    </row>
    <row r="133">
      <c r="A133" s="110" t="s">
        <v>822</v>
      </c>
      <c r="B133" s="267" t="str">
        <f>HYPERLINK("http://codeforces.com/contest/592/problem/C","CF592-D2-C")</f>
        <v>CF592-D2-C</v>
      </c>
      <c r="C133" s="185"/>
      <c r="D133" s="185"/>
      <c r="E133" s="185"/>
      <c r="F133" s="185"/>
      <c r="G133" s="185"/>
      <c r="H133" s="186"/>
      <c r="I133" s="81">
        <f t="shared" si="2"/>
        <v>0</v>
      </c>
      <c r="J133" s="117"/>
      <c r="K133" s="116"/>
      <c r="L133" s="50"/>
      <c r="M133" s="50"/>
    </row>
    <row r="134">
      <c r="A134" s="110" t="s">
        <v>823</v>
      </c>
      <c r="B134" s="267" t="str">
        <f>HYPERLINK("http://codeforces.com/contest/776/problem/C","CF776-D2-C")</f>
        <v>CF776-D2-C</v>
      </c>
      <c r="C134" s="185"/>
      <c r="D134" s="185"/>
      <c r="E134" s="185"/>
      <c r="F134" s="185"/>
      <c r="G134" s="185"/>
      <c r="H134" s="186"/>
      <c r="I134" s="81">
        <f t="shared" si="2"/>
        <v>0</v>
      </c>
      <c r="J134" s="117"/>
      <c r="K134" s="116"/>
      <c r="L134" s="50"/>
      <c r="M134" s="128" t="str">
        <f>HYPERLINK("https://www.youtube.com/watch?v=5roeMaM3T3Y","Video Solution - Solver to be (Java)")</f>
        <v>Video Solution - Solver to be (Java)</v>
      </c>
    </row>
    <row r="135">
      <c r="A135" s="242" t="s">
        <v>824</v>
      </c>
      <c r="B135" s="271" t="str">
        <f>HYPERLINK("http://codeforces.com/contest/719/problem/B","CF719-D2-B")</f>
        <v>CF719-D2-B</v>
      </c>
      <c r="C135" s="185"/>
      <c r="D135" s="185"/>
      <c r="E135" s="185"/>
      <c r="F135" s="185"/>
      <c r="G135" s="185"/>
      <c r="H135" s="186"/>
      <c r="I135" s="81">
        <f t="shared" si="2"/>
        <v>0</v>
      </c>
      <c r="J135" s="117"/>
      <c r="K135" s="116"/>
      <c r="L135" s="50"/>
      <c r="M135" s="128"/>
    </row>
    <row r="136">
      <c r="A136" s="242" t="s">
        <v>825</v>
      </c>
      <c r="B136" s="271" t="str">
        <f>HYPERLINK("http://codeforces.com/contest/131/problem/B","CF131-D2-B")</f>
        <v>CF131-D2-B</v>
      </c>
      <c r="C136" s="185"/>
      <c r="D136" s="185"/>
      <c r="E136" s="185"/>
      <c r="F136" s="185"/>
      <c r="G136" s="185"/>
      <c r="H136" s="186"/>
      <c r="I136" s="81">
        <f t="shared" si="2"/>
        <v>0</v>
      </c>
      <c r="J136" s="117"/>
      <c r="K136" s="116"/>
      <c r="L136" s="50"/>
      <c r="M136" s="128"/>
    </row>
    <row r="137">
      <c r="A137" s="151"/>
      <c r="B137" s="151"/>
      <c r="C137" s="185"/>
      <c r="D137" s="185"/>
      <c r="E137" s="185"/>
      <c r="F137" s="185"/>
      <c r="G137" s="185"/>
      <c r="H137" s="186"/>
      <c r="I137" s="81">
        <f t="shared" si="2"/>
        <v>0</v>
      </c>
      <c r="J137" s="86"/>
      <c r="K137" s="80"/>
      <c r="L137" s="185"/>
      <c r="M137" s="151"/>
    </row>
    <row r="138">
      <c r="A138" s="196" t="s">
        <v>826</v>
      </c>
      <c r="B138" s="197" t="str">
        <f>HYPERLINK("https://uva.onlinejudge.org/index.php?option=onlinejudge&amp;page=show_problem&amp;problem=1204","UVA 10263")</f>
        <v>UVA 10263</v>
      </c>
      <c r="C138" s="185"/>
      <c r="D138" s="185"/>
      <c r="E138" s="185"/>
      <c r="F138" s="185"/>
      <c r="G138" s="185"/>
      <c r="H138" s="186"/>
      <c r="I138" s="81">
        <f t="shared" si="2"/>
        <v>0</v>
      </c>
      <c r="J138" s="86"/>
      <c r="K138" s="80"/>
      <c r="L138" s="185"/>
      <c r="M138" s="106" t="str">
        <f>HYPERLINK("https://github.com/MohamedNabil97/CompetitiveProgramming/blob/master/UVA/10263.cpp","Sol")</f>
        <v>Sol</v>
      </c>
    </row>
    <row r="139">
      <c r="A139" s="196" t="s">
        <v>827</v>
      </c>
      <c r="B139" s="197" t="str">
        <f>HYPERLINK("https://uva.onlinejudge.org/index.php?option=com_onlinejudge&amp;Itemid=8&amp;page=show_problem&amp;problem=825","UVA 884")</f>
        <v>UVA 884</v>
      </c>
      <c r="C139" s="185"/>
      <c r="D139" s="185"/>
      <c r="E139" s="185"/>
      <c r="F139" s="185"/>
      <c r="G139" s="185"/>
      <c r="H139" s="186"/>
      <c r="I139" s="81">
        <f t="shared" si="2"/>
        <v>0</v>
      </c>
      <c r="J139" s="86"/>
      <c r="K139" s="80"/>
      <c r="L139" s="185"/>
      <c r="M139" s="151"/>
    </row>
    <row r="140">
      <c r="A140" s="196" t="s">
        <v>828</v>
      </c>
      <c r="B140" s="283" t="str">
        <f>HYPERLINK("https://uva.onlinejudge.org/index.php?option=onlinejudge&amp;page=show_problem&amp;problem=4601","UVA 12748")</f>
        <v>UVA 12748</v>
      </c>
      <c r="C140" s="185"/>
      <c r="D140" s="185"/>
      <c r="E140" s="185"/>
      <c r="F140" s="185"/>
      <c r="G140" s="185"/>
      <c r="H140" s="186"/>
      <c r="I140" s="81">
        <f t="shared" si="2"/>
        <v>0</v>
      </c>
      <c r="J140" s="86"/>
      <c r="K140" s="80"/>
      <c r="L140" s="185"/>
      <c r="M140" s="238" t="str">
        <f>HYPERLINK("https://github.com/MeGaCrazy/CompetitiveProgramming/blob/29ebad1d90e70a17ac4e646e5f049b980fb777de/UVA/UVA_12748.cpp","Sol")</f>
        <v>Sol</v>
      </c>
    </row>
    <row r="141">
      <c r="A141" s="138" t="s">
        <v>829</v>
      </c>
      <c r="B141" s="199" t="str">
        <f>HYPERLINK("https://uva.onlinejudge.org/index.php?option=com_onlinejudge&amp;Itemid=8&amp;page=show_problem&amp;problem=206","UVA 270")</f>
        <v>UVA 270</v>
      </c>
      <c r="C141" s="185"/>
      <c r="D141" s="185"/>
      <c r="E141" s="185"/>
      <c r="F141" s="185"/>
      <c r="G141" s="185"/>
      <c r="H141" s="186"/>
      <c r="I141" s="81">
        <f t="shared" si="2"/>
        <v>0</v>
      </c>
      <c r="J141" s="86"/>
      <c r="K141" s="80"/>
      <c r="L141" s="185"/>
      <c r="M141" s="284" t="str">
        <f>HYPERLINK("https://www.youtube.com/watch?v=EbB6g4GuNrQ","Video Solution - Eng Mohamed Nasser. Don't Code O(N^3)")</f>
        <v>Video Solution - Eng Mohamed Nasser. Don't Code O(N^3)</v>
      </c>
    </row>
    <row r="142">
      <c r="A142" s="138" t="s">
        <v>830</v>
      </c>
      <c r="B142" s="139" t="str">
        <f>HYPERLINK("http://www.spoj.com/problems/POUR1/","SPOJ POUR1")</f>
        <v>SPOJ POUR1</v>
      </c>
      <c r="C142" s="185"/>
      <c r="D142" s="185"/>
      <c r="E142" s="185"/>
      <c r="F142" s="185"/>
      <c r="G142" s="185"/>
      <c r="H142" s="186"/>
      <c r="I142" s="81">
        <f t="shared" si="2"/>
        <v>0</v>
      </c>
      <c r="J142" s="117"/>
      <c r="K142" s="116"/>
      <c r="L142" s="50"/>
      <c r="M142" s="195" t="str">
        <f>HYPERLINK("https://www.youtube.com/watch?v=dMacXPeTyak&amp;feature=youtu.be","Video Solution - Eng Moaz Rashad")</f>
        <v>Video Solution - Eng Moaz Rashad</v>
      </c>
    </row>
    <row r="143">
      <c r="A143" s="138"/>
      <c r="B143" s="139" t="str">
        <f>HYPERLINK("http://codeforces.com/contest/23/problem/C","CF23-D12-C")</f>
        <v>CF23-D12-C</v>
      </c>
      <c r="C143" s="185"/>
      <c r="D143" s="185"/>
      <c r="E143" s="185"/>
      <c r="F143" s="185"/>
      <c r="G143" s="185"/>
      <c r="H143" s="186"/>
      <c r="I143" s="81">
        <f t="shared" si="2"/>
        <v>0</v>
      </c>
      <c r="J143" s="117"/>
      <c r="K143" s="116"/>
      <c r="L143" s="50"/>
      <c r="M143" s="195"/>
    </row>
    <row r="144">
      <c r="A144" s="138"/>
      <c r="B144" s="139" t="str">
        <f>HYPERLINK("http://codeforces.com/problemset/problem/869/C","CF869-D2-C")</f>
        <v>CF869-D2-C</v>
      </c>
      <c r="C144" s="185"/>
      <c r="D144" s="185"/>
      <c r="E144" s="185"/>
      <c r="F144" s="185"/>
      <c r="G144" s="185"/>
      <c r="H144" s="186"/>
      <c r="I144" s="81">
        <f t="shared" si="2"/>
        <v>0</v>
      </c>
      <c r="J144" s="117"/>
      <c r="K144" s="116"/>
      <c r="L144" s="50"/>
      <c r="M144" s="195"/>
    </row>
    <row r="145">
      <c r="A145" s="138"/>
      <c r="B145" s="138" t="s">
        <v>831</v>
      </c>
      <c r="C145" s="185"/>
      <c r="D145" s="185"/>
      <c r="E145" s="185"/>
      <c r="F145" s="185"/>
      <c r="G145" s="185"/>
      <c r="H145" s="186"/>
      <c r="I145" s="81">
        <f t="shared" si="2"/>
        <v>0</v>
      </c>
      <c r="J145" s="117"/>
      <c r="K145" s="116"/>
      <c r="L145" s="50"/>
      <c r="M145" s="192" t="s">
        <v>832</v>
      </c>
    </row>
    <row r="146">
      <c r="A146" s="151"/>
      <c r="B146" s="151"/>
      <c r="C146" s="185"/>
      <c r="D146" s="185"/>
      <c r="E146" s="185"/>
      <c r="F146" s="185"/>
      <c r="G146" s="185"/>
      <c r="H146" s="186"/>
      <c r="I146" s="81">
        <f t="shared" si="2"/>
        <v>0</v>
      </c>
      <c r="J146" s="86"/>
      <c r="K146" s="80"/>
      <c r="L146" s="185"/>
    </row>
    <row r="147">
      <c r="A147" s="151"/>
      <c r="B147" s="151"/>
      <c r="C147" s="185"/>
      <c r="D147" s="185"/>
      <c r="E147" s="185"/>
      <c r="F147" s="185"/>
      <c r="G147" s="185"/>
      <c r="H147" s="186"/>
      <c r="I147" s="81">
        <f t="shared" si="2"/>
        <v>0</v>
      </c>
      <c r="J147" s="86"/>
      <c r="K147" s="80"/>
      <c r="L147" s="185"/>
      <c r="M147" s="201" t="str">
        <f>HYPERLINK("https://www.youtube.com/watch?v=j__Kredt7vY","Watch Video - Expected Value")</f>
        <v>Watch Video - Expected Value</v>
      </c>
    </row>
    <row r="148">
      <c r="A148" s="148" t="s">
        <v>833</v>
      </c>
      <c r="B148" s="263" t="str">
        <f>HYPERLINK("https://uva.onlinejudge.org/index.php?option=com_onlinejudge&amp;Itemid=8&amp;page=show_problem&amp;problem=1718","UVA 10777")</f>
        <v>UVA 10777</v>
      </c>
      <c r="C148" s="185"/>
      <c r="D148" s="185"/>
      <c r="E148" s="185"/>
      <c r="F148" s="185"/>
      <c r="G148" s="185"/>
      <c r="H148" s="186"/>
      <c r="I148" s="81">
        <f t="shared" si="2"/>
        <v>0</v>
      </c>
      <c r="J148" s="86"/>
      <c r="K148" s="80"/>
      <c r="L148" s="185"/>
      <c r="M148" s="238" t="str">
        <f>HYPERLINK("https://github.com/ilyesG/Competitive-Programming/blob/master/UVA/UVA%2010777.cpp","Sol")</f>
        <v>Sol</v>
      </c>
    </row>
    <row r="149">
      <c r="A149" s="148"/>
      <c r="B149" s="263" t="str">
        <f>HYPERLINK("http://codeforces.com/contest/839/problem/C","CF839-D2-C")</f>
        <v>CF839-D2-C</v>
      </c>
      <c r="C149" s="185"/>
      <c r="D149" s="185"/>
      <c r="E149" s="185"/>
      <c r="F149" s="185"/>
      <c r="G149" s="185"/>
      <c r="H149" s="186"/>
      <c r="I149" s="81">
        <f t="shared" si="2"/>
        <v>0</v>
      </c>
      <c r="J149" s="86"/>
      <c r="K149" s="80"/>
      <c r="L149" s="185"/>
      <c r="M149" s="151"/>
    </row>
    <row r="150">
      <c r="A150" s="148"/>
      <c r="B150" s="263" t="str">
        <f>HYPERLINK("http://codeforces.com/contest/454/problem/C","CF454-D2-C")</f>
        <v>CF454-D2-C</v>
      </c>
      <c r="C150" s="185"/>
      <c r="D150" s="185"/>
      <c r="E150" s="185"/>
      <c r="F150" s="185"/>
      <c r="G150" s="185"/>
      <c r="H150" s="186"/>
      <c r="I150" s="81">
        <f t="shared" si="2"/>
        <v>0</v>
      </c>
      <c r="J150" s="86"/>
      <c r="K150" s="80"/>
      <c r="L150" s="185"/>
      <c r="M150" s="151"/>
    </row>
    <row r="151">
      <c r="A151" s="148"/>
      <c r="B151" s="148" t="s">
        <v>834</v>
      </c>
      <c r="C151" s="185"/>
      <c r="D151" s="185"/>
      <c r="E151" s="185"/>
      <c r="F151" s="185"/>
      <c r="G151" s="185"/>
      <c r="H151" s="186"/>
      <c r="I151" s="81">
        <f t="shared" si="2"/>
        <v>0</v>
      </c>
      <c r="J151" s="86"/>
      <c r="K151" s="80"/>
      <c r="L151" s="185"/>
      <c r="M151" s="274" t="str">
        <f>HYPERLINK("https://apps.topcoder.com/wiki/display/tc/Algorithm+Problem+Set+Analysis","Editorial")</f>
        <v>Editorial</v>
      </c>
    </row>
    <row r="152">
      <c r="A152" s="148"/>
      <c r="B152" s="263" t="str">
        <f>HYPERLINK("https://www.hackerrank.com/challenges/lazy-sorting","HACKR lazy-sorting")</f>
        <v>HACKR lazy-sorting</v>
      </c>
      <c r="C152" s="185"/>
      <c r="D152" s="185"/>
      <c r="E152" s="185"/>
      <c r="F152" s="185"/>
      <c r="G152" s="185"/>
      <c r="H152" s="186"/>
      <c r="I152" s="81">
        <f t="shared" si="2"/>
        <v>0</v>
      </c>
      <c r="J152" s="86"/>
      <c r="K152" s="80"/>
      <c r="L152" s="185"/>
      <c r="M152" s="238" t="str">
        <f>HYPERLINK("https://www.youtube.com/watch?v=j__Kredt7vY","Revise Expected Value")</f>
        <v>Revise Expected Value</v>
      </c>
    </row>
    <row r="153">
      <c r="A153" s="138"/>
      <c r="B153" s="139" t="str">
        <f>HYPERLINK("http://www.spoj.com/problems/ALIENS/","SPOJ ALIENS")</f>
        <v>SPOJ ALIENS</v>
      </c>
      <c r="C153" s="185"/>
      <c r="D153" s="185"/>
      <c r="E153" s="185"/>
      <c r="F153" s="185"/>
      <c r="G153" s="185"/>
      <c r="H153" s="186"/>
      <c r="I153" s="81">
        <f t="shared" si="2"/>
        <v>0</v>
      </c>
      <c r="J153" s="86"/>
      <c r="K153" s="80"/>
      <c r="L153" s="185"/>
      <c r="M153" s="238" t="str">
        <f>HYPERLINK("https://github.com/mostafa-saad/MyCompetitiveProgramming/blob/master/SPOJ/SPOJ_ALIENS.txt","Sol - Practice on min enclosing circle")</f>
        <v>Sol - Practice on min enclosing circle</v>
      </c>
    </row>
    <row r="154">
      <c r="A154" s="138"/>
      <c r="B154" s="139" t="str">
        <f>HYPERLINK("http://codeforces.com/contest/340/problem/B","CF340-D2-B")</f>
        <v>CF340-D2-B</v>
      </c>
      <c r="C154" s="185"/>
      <c r="D154" s="185"/>
      <c r="E154" s="185"/>
      <c r="F154" s="185"/>
      <c r="G154" s="185"/>
      <c r="H154" s="186"/>
      <c r="I154" s="81">
        <f t="shared" si="2"/>
        <v>0</v>
      </c>
      <c r="J154" s="86"/>
      <c r="K154" s="80"/>
      <c r="L154" s="185"/>
      <c r="M154" s="151"/>
    </row>
    <row r="155">
      <c r="A155" s="227"/>
      <c r="B155" s="227"/>
      <c r="C155" s="229"/>
      <c r="D155" s="229"/>
      <c r="E155" s="229"/>
      <c r="F155" s="229"/>
      <c r="G155" s="229"/>
      <c r="H155" s="230"/>
      <c r="I155" s="230">
        <f t="shared" ref="I155:I157" si="3">SUM(E155:G155)</f>
        <v>0</v>
      </c>
      <c r="J155" s="229"/>
      <c r="K155" s="229"/>
      <c r="L155" s="229"/>
      <c r="M155" s="227"/>
    </row>
    <row r="156">
      <c r="A156" s="151"/>
      <c r="B156" s="151"/>
      <c r="C156" s="120"/>
      <c r="D156" s="231" t="s">
        <v>271</v>
      </c>
      <c r="H156" s="186"/>
      <c r="I156" s="186">
        <f t="shared" si="3"/>
        <v>0</v>
      </c>
      <c r="J156" s="179" t="s">
        <v>272</v>
      </c>
    </row>
    <row r="157">
      <c r="A157" s="227"/>
      <c r="B157" s="227"/>
      <c r="C157" s="229"/>
      <c r="D157" s="229"/>
      <c r="E157" s="229"/>
      <c r="F157" s="229"/>
      <c r="G157" s="229"/>
      <c r="H157" s="230"/>
      <c r="I157" s="230">
        <f t="shared" si="3"/>
        <v>0</v>
      </c>
      <c r="J157" s="229"/>
      <c r="K157" s="229"/>
      <c r="L157" s="229"/>
      <c r="M157" s="227"/>
    </row>
    <row r="158">
      <c r="A158" s="192" t="s">
        <v>835</v>
      </c>
      <c r="B158" s="238" t="str">
        <f>HYPERLINK("http://codeforces.com/contest/427/problem/C","CF427-D2-C")</f>
        <v>CF427-D2-C</v>
      </c>
      <c r="C158" s="185"/>
      <c r="D158" s="185"/>
      <c r="E158" s="185"/>
      <c r="F158" s="185"/>
      <c r="G158" s="185"/>
      <c r="H158" s="186"/>
      <c r="I158" s="81">
        <f t="shared" ref="I158:I201" si="4">SUM(E158:H158)</f>
        <v>0</v>
      </c>
      <c r="J158" s="86"/>
      <c r="K158" s="80"/>
      <c r="L158" s="185"/>
      <c r="M158" s="151"/>
    </row>
    <row r="159">
      <c r="A159" s="192" t="s">
        <v>836</v>
      </c>
      <c r="B159" s="238" t="str">
        <f>HYPERLINK("http://codeforces.com/contest/139/problem/C","CF139-D2-C")</f>
        <v>CF139-D2-C</v>
      </c>
      <c r="C159" s="185"/>
      <c r="D159" s="185"/>
      <c r="E159" s="185"/>
      <c r="F159" s="185"/>
      <c r="G159" s="185"/>
      <c r="H159" s="186"/>
      <c r="I159" s="81">
        <f t="shared" si="4"/>
        <v>0</v>
      </c>
      <c r="J159" s="86"/>
      <c r="K159" s="80"/>
      <c r="L159" s="185"/>
      <c r="M159" s="151"/>
    </row>
    <row r="160">
      <c r="A160" s="192" t="s">
        <v>837</v>
      </c>
      <c r="B160" s="238" t="str">
        <f>HYPERLINK("http://codeforces.com/contest/742/problem/C","CF742-D2-C")</f>
        <v>CF742-D2-C</v>
      </c>
      <c r="C160" s="185"/>
      <c r="D160" s="185"/>
      <c r="E160" s="185"/>
      <c r="F160" s="185"/>
      <c r="G160" s="185"/>
      <c r="H160" s="186"/>
      <c r="I160" s="81">
        <f t="shared" si="4"/>
        <v>0</v>
      </c>
      <c r="J160" s="86"/>
      <c r="K160" s="80"/>
      <c r="L160" s="185"/>
      <c r="M160" s="151"/>
    </row>
    <row r="161">
      <c r="A161" s="192" t="s">
        <v>838</v>
      </c>
      <c r="B161" s="238" t="str">
        <f>HYPERLINK("http://codeforces.com/contest/298/problem/C","CF298-D2-C")</f>
        <v>CF298-D2-C</v>
      </c>
      <c r="C161" s="185"/>
      <c r="D161" s="185"/>
      <c r="E161" s="185"/>
      <c r="F161" s="185"/>
      <c r="G161" s="185"/>
      <c r="H161" s="186"/>
      <c r="I161" s="81">
        <f t="shared" si="4"/>
        <v>0</v>
      </c>
      <c r="J161" s="86"/>
      <c r="K161" s="80"/>
      <c r="L161" s="185"/>
      <c r="M161" s="151"/>
    </row>
    <row r="162">
      <c r="A162" s="192" t="s">
        <v>839</v>
      </c>
      <c r="B162" s="238" t="str">
        <f>HYPERLINK("http://codeforces.com/contest/246/problem/C","CF246-D2-C")</f>
        <v>CF246-D2-C</v>
      </c>
      <c r="C162" s="185"/>
      <c r="D162" s="185"/>
      <c r="E162" s="185"/>
      <c r="F162" s="185"/>
      <c r="G162" s="185"/>
      <c r="H162" s="186"/>
      <c r="I162" s="81">
        <f t="shared" si="4"/>
        <v>0</v>
      </c>
      <c r="J162" s="86"/>
      <c r="K162" s="80"/>
      <c r="L162" s="185"/>
      <c r="M162" s="151"/>
    </row>
    <row r="163">
      <c r="A163" s="192" t="s">
        <v>840</v>
      </c>
      <c r="B163" s="238" t="str">
        <f>HYPERLINK("http://codeforces.com/contest/80/problem/C","CF80-D2-C")</f>
        <v>CF80-D2-C</v>
      </c>
      <c r="C163" s="185"/>
      <c r="D163" s="185"/>
      <c r="E163" s="185"/>
      <c r="F163" s="185"/>
      <c r="G163" s="185"/>
      <c r="H163" s="186"/>
      <c r="I163" s="81">
        <f t="shared" si="4"/>
        <v>0</v>
      </c>
      <c r="J163" s="86"/>
      <c r="K163" s="80"/>
      <c r="L163" s="185"/>
      <c r="M163" s="151"/>
    </row>
    <row r="164">
      <c r="A164" s="192" t="s">
        <v>841</v>
      </c>
      <c r="B164" s="238" t="str">
        <f>HYPERLINK("http://codeforces.com/contest/192/problem/C","CF192-D2-C")</f>
        <v>CF192-D2-C</v>
      </c>
      <c r="C164" s="185"/>
      <c r="D164" s="185"/>
      <c r="E164" s="185"/>
      <c r="F164" s="185"/>
      <c r="G164" s="185"/>
      <c r="H164" s="186"/>
      <c r="I164" s="81">
        <f t="shared" si="4"/>
        <v>0</v>
      </c>
      <c r="J164" s="86"/>
      <c r="K164" s="80"/>
      <c r="L164" s="185"/>
      <c r="M164" s="151"/>
    </row>
    <row r="165">
      <c r="A165" s="192" t="s">
        <v>842</v>
      </c>
      <c r="B165" s="238" t="str">
        <f>HYPERLINK("http://codeforces.com/contest/106/problem/C","CF106-D2-C")</f>
        <v>CF106-D2-C</v>
      </c>
      <c r="C165" s="185"/>
      <c r="D165" s="185"/>
      <c r="E165" s="185"/>
      <c r="F165" s="185"/>
      <c r="G165" s="185"/>
      <c r="H165" s="186"/>
      <c r="I165" s="81">
        <f t="shared" si="4"/>
        <v>0</v>
      </c>
      <c r="J165" s="86"/>
      <c r="K165" s="80"/>
      <c r="L165" s="185"/>
      <c r="M165" s="151"/>
    </row>
    <row r="166">
      <c r="A166" s="192" t="s">
        <v>843</v>
      </c>
      <c r="B166" s="238" t="str">
        <f>HYPERLINK("http://codeforces.com/contest/373/problem/C","CF373-D2-C")</f>
        <v>CF373-D2-C</v>
      </c>
      <c r="C166" s="185"/>
      <c r="D166" s="185"/>
      <c r="E166" s="185"/>
      <c r="F166" s="185"/>
      <c r="G166" s="185"/>
      <c r="H166" s="186"/>
      <c r="I166" s="81">
        <f t="shared" si="4"/>
        <v>0</v>
      </c>
      <c r="J166" s="86"/>
      <c r="K166" s="80"/>
      <c r="L166" s="185"/>
      <c r="M166" s="151"/>
    </row>
    <row r="167">
      <c r="A167" s="192" t="s">
        <v>844</v>
      </c>
      <c r="B167" s="238" t="str">
        <f>HYPERLINK("http://codeforces.com/contest/56/problem/C","CF56-D2-C")</f>
        <v>CF56-D2-C</v>
      </c>
      <c r="C167" s="185"/>
      <c r="D167" s="185"/>
      <c r="E167" s="185"/>
      <c r="F167" s="185"/>
      <c r="G167" s="185"/>
      <c r="H167" s="186"/>
      <c r="I167" s="81">
        <f t="shared" si="4"/>
        <v>0</v>
      </c>
      <c r="J167" s="86"/>
      <c r="K167" s="80"/>
      <c r="L167" s="185"/>
      <c r="M167" s="151"/>
    </row>
    <row r="168">
      <c r="A168" s="110" t="s">
        <v>845</v>
      </c>
      <c r="B168" s="152" t="str">
        <f>HYPERLINK("http://codeforces.com/contest/365/problem/C","CF365-D2-C")</f>
        <v>CF365-D2-C</v>
      </c>
      <c r="C168" s="50"/>
      <c r="D168" s="50"/>
      <c r="E168" s="50"/>
      <c r="F168" s="50"/>
      <c r="G168" s="50"/>
      <c r="H168" s="50"/>
      <c r="I168" s="127">
        <f t="shared" si="4"/>
        <v>0</v>
      </c>
      <c r="J168" s="117"/>
      <c r="K168" s="116"/>
      <c r="L168" s="50"/>
      <c r="M168" s="47"/>
    </row>
    <row r="169">
      <c r="A169" s="285" t="s">
        <v>846</v>
      </c>
      <c r="B169" s="286" t="str">
        <f>HYPERLINK("https://uva.onlinejudge.org/index.php?option=com_onlinejudge&amp;Itemid=8&amp;page=show_problem&amp;problem=2733","UVA 11686")</f>
        <v>UVA 11686</v>
      </c>
      <c r="C169" s="50"/>
      <c r="D169" s="50"/>
      <c r="E169" s="50"/>
      <c r="F169" s="50"/>
      <c r="G169" s="50"/>
      <c r="H169" s="50"/>
      <c r="I169" s="186">
        <f t="shared" si="4"/>
        <v>0</v>
      </c>
      <c r="J169" s="47"/>
      <c r="K169" s="50"/>
      <c r="L169" s="50"/>
      <c r="M169" s="152" t="str">
        <f>HYPERLINK("https://github.com/VAMPIER000001/CompetitiveProgramming/blob/master/UVA/V-116/UVA%2011686.Cpp","Sol")</f>
        <v>Sol</v>
      </c>
    </row>
    <row r="170">
      <c r="A170" s="192"/>
      <c r="B170" s="87"/>
      <c r="C170" s="185"/>
      <c r="D170" s="185"/>
      <c r="E170" s="185"/>
      <c r="F170" s="185"/>
      <c r="G170" s="185"/>
      <c r="H170" s="186"/>
      <c r="I170" s="81">
        <f t="shared" si="4"/>
        <v>0</v>
      </c>
      <c r="J170" s="86"/>
      <c r="K170" s="80"/>
      <c r="L170" s="185"/>
      <c r="M170" s="151"/>
    </row>
    <row r="171">
      <c r="A171" s="192" t="s">
        <v>847</v>
      </c>
      <c r="B171" s="238" t="str">
        <f>HYPERLINK("http://codeforces.com/contest/205/problem/C","CF205-D2-C")</f>
        <v>CF205-D2-C</v>
      </c>
      <c r="C171" s="185"/>
      <c r="D171" s="185"/>
      <c r="E171" s="185"/>
      <c r="F171" s="185"/>
      <c r="G171" s="185"/>
      <c r="H171" s="186"/>
      <c r="I171" s="81">
        <f t="shared" si="4"/>
        <v>0</v>
      </c>
      <c r="J171" s="86"/>
      <c r="K171" s="80"/>
      <c r="L171" s="185"/>
      <c r="M171" s="151"/>
    </row>
    <row r="172">
      <c r="A172" s="192" t="s">
        <v>848</v>
      </c>
      <c r="B172" s="238" t="str">
        <f>HYPERLINK("http://codeforces.com/contest/315/problem/C","CF315-D2-C")</f>
        <v>CF315-D2-C</v>
      </c>
      <c r="C172" s="185"/>
      <c r="D172" s="185"/>
      <c r="E172" s="185"/>
      <c r="F172" s="185"/>
      <c r="G172" s="185"/>
      <c r="H172" s="186"/>
      <c r="I172" s="81">
        <f t="shared" si="4"/>
        <v>0</v>
      </c>
      <c r="J172" s="86"/>
      <c r="K172" s="80"/>
      <c r="L172" s="185"/>
      <c r="M172" s="151"/>
    </row>
    <row r="173">
      <c r="A173" s="192" t="s">
        <v>849</v>
      </c>
      <c r="B173" s="238" t="str">
        <f>HYPERLINK("http://codeforces.com/contest/355/problem/C","CF355-D2-C")</f>
        <v>CF355-D2-C</v>
      </c>
      <c r="C173" s="185"/>
      <c r="D173" s="185"/>
      <c r="E173" s="185"/>
      <c r="F173" s="185"/>
      <c r="G173" s="185"/>
      <c r="H173" s="186"/>
      <c r="I173" s="81">
        <f t="shared" si="4"/>
        <v>0</v>
      </c>
      <c r="J173" s="86"/>
      <c r="K173" s="80"/>
      <c r="L173" s="185"/>
      <c r="M173" s="151"/>
    </row>
    <row r="174">
      <c r="A174" s="192" t="s">
        <v>850</v>
      </c>
      <c r="B174" s="238" t="str">
        <f>HYPERLINK("http://codeforces.com/contest/96/problem/C","CF96-D2-C")</f>
        <v>CF96-D2-C</v>
      </c>
      <c r="C174" s="185"/>
      <c r="D174" s="185"/>
      <c r="E174" s="185"/>
      <c r="F174" s="185"/>
      <c r="G174" s="185"/>
      <c r="H174" s="186"/>
      <c r="I174" s="81">
        <f t="shared" si="4"/>
        <v>0</v>
      </c>
      <c r="J174" s="86"/>
      <c r="K174" s="80"/>
      <c r="L174" s="185"/>
      <c r="M174" s="151"/>
    </row>
    <row r="175">
      <c r="A175" s="192" t="s">
        <v>851</v>
      </c>
      <c r="B175" s="238" t="str">
        <f>HYPERLINK("http://codeforces.com/contest/66/problem/C","CF66-D2-C")</f>
        <v>CF66-D2-C</v>
      </c>
      <c r="C175" s="185"/>
      <c r="D175" s="185"/>
      <c r="E175" s="185"/>
      <c r="F175" s="185"/>
      <c r="G175" s="185"/>
      <c r="H175" s="186"/>
      <c r="I175" s="81">
        <f t="shared" si="4"/>
        <v>0</v>
      </c>
      <c r="J175" s="86"/>
      <c r="K175" s="80"/>
      <c r="L175" s="185"/>
      <c r="M175" s="151"/>
    </row>
    <row r="176">
      <c r="A176" s="192" t="s">
        <v>852</v>
      </c>
      <c r="B176" s="238" t="str">
        <f>HYPERLINK("http://codeforces.com/contest/554/problem/C","CF554-D2-C")</f>
        <v>CF554-D2-C</v>
      </c>
      <c r="C176" s="185"/>
      <c r="D176" s="185"/>
      <c r="E176" s="185"/>
      <c r="F176" s="185"/>
      <c r="G176" s="185"/>
      <c r="H176" s="186"/>
      <c r="I176" s="81">
        <f t="shared" si="4"/>
        <v>0</v>
      </c>
      <c r="J176" s="86"/>
      <c r="K176" s="80"/>
      <c r="L176" s="185"/>
      <c r="M176" s="151"/>
    </row>
    <row r="177">
      <c r="A177" s="192" t="s">
        <v>853</v>
      </c>
      <c r="B177" s="238" t="str">
        <f>HYPERLINK("http://codeforces.com/contest/467/problem/C","CF467-D2-C")</f>
        <v>CF467-D2-C</v>
      </c>
      <c r="C177" s="185"/>
      <c r="D177" s="185"/>
      <c r="E177" s="185"/>
      <c r="F177" s="185"/>
      <c r="G177" s="185"/>
      <c r="H177" s="186"/>
      <c r="I177" s="81">
        <f t="shared" si="4"/>
        <v>0</v>
      </c>
      <c r="J177" s="86"/>
      <c r="K177" s="80"/>
      <c r="L177" s="185"/>
      <c r="M177" s="151"/>
    </row>
    <row r="178">
      <c r="A178" s="192" t="s">
        <v>854</v>
      </c>
      <c r="B178" s="238" t="str">
        <f>HYPERLINK("http://codeforces.com/contest/610/problem/C","CF610-D2-C")</f>
        <v>CF610-D2-C</v>
      </c>
      <c r="C178" s="185"/>
      <c r="D178" s="185"/>
      <c r="E178" s="185"/>
      <c r="F178" s="185"/>
      <c r="G178" s="185"/>
      <c r="H178" s="186"/>
      <c r="I178" s="81">
        <f t="shared" si="4"/>
        <v>0</v>
      </c>
      <c r="J178" s="86"/>
      <c r="K178" s="80"/>
      <c r="L178" s="185"/>
      <c r="M178" s="151"/>
    </row>
    <row r="179">
      <c r="A179" s="192" t="s">
        <v>855</v>
      </c>
      <c r="B179" s="238" t="str">
        <f>HYPERLINK("http://codeforces.com/contest/734/problem/C","CF734-D2-C")</f>
        <v>CF734-D2-C</v>
      </c>
      <c r="C179" s="185"/>
      <c r="D179" s="185"/>
      <c r="E179" s="185"/>
      <c r="F179" s="185"/>
      <c r="G179" s="185"/>
      <c r="H179" s="186"/>
      <c r="I179" s="81">
        <f t="shared" si="4"/>
        <v>0</v>
      </c>
      <c r="J179" s="86"/>
      <c r="K179" s="80"/>
      <c r="L179" s="185"/>
      <c r="M179" s="151"/>
    </row>
    <row r="180">
      <c r="A180" s="192" t="s">
        <v>856</v>
      </c>
      <c r="B180" s="238" t="str">
        <f>HYPERLINK("http://codeforces.com/contest/478/problem/C","CF478-D2-C")</f>
        <v>CF478-D2-C</v>
      </c>
      <c r="C180" s="185"/>
      <c r="D180" s="185"/>
      <c r="E180" s="185"/>
      <c r="F180" s="185"/>
      <c r="G180" s="185"/>
      <c r="H180" s="186"/>
      <c r="I180" s="81">
        <f t="shared" si="4"/>
        <v>0</v>
      </c>
      <c r="J180" s="86"/>
      <c r="K180" s="80"/>
      <c r="L180" s="185"/>
      <c r="M180" s="151"/>
    </row>
    <row r="181">
      <c r="A181" s="110" t="s">
        <v>857</v>
      </c>
      <c r="B181" s="152" t="str">
        <f>HYPERLINK("http://codeforces.com/contest/672/problem/C","CF672-D2-C")</f>
        <v>CF672-D2-C</v>
      </c>
      <c r="C181" s="50"/>
      <c r="D181" s="50"/>
      <c r="E181" s="50"/>
      <c r="F181" s="50"/>
      <c r="G181" s="50"/>
      <c r="H181" s="50"/>
      <c r="I181" s="127">
        <f t="shared" si="4"/>
        <v>0</v>
      </c>
      <c r="J181" s="117"/>
      <c r="K181" s="116"/>
      <c r="L181" s="50"/>
      <c r="M181" s="47"/>
    </row>
    <row r="182">
      <c r="A182" s="192"/>
      <c r="B182" s="87"/>
      <c r="C182" s="185"/>
      <c r="D182" s="185"/>
      <c r="E182" s="185"/>
      <c r="F182" s="185"/>
      <c r="G182" s="185"/>
      <c r="H182" s="186"/>
      <c r="I182" s="81">
        <f t="shared" si="4"/>
        <v>0</v>
      </c>
      <c r="J182" s="86"/>
      <c r="K182" s="80"/>
      <c r="L182" s="185"/>
      <c r="M182" s="151"/>
    </row>
    <row r="183">
      <c r="A183" s="192" t="s">
        <v>858</v>
      </c>
      <c r="B183" s="238" t="str">
        <f>HYPERLINK("http://codeforces.com/contest/157/problem/C","CF157-D2-C")</f>
        <v>CF157-D2-C</v>
      </c>
      <c r="C183" s="185"/>
      <c r="D183" s="185"/>
      <c r="E183" s="185"/>
      <c r="F183" s="185"/>
      <c r="G183" s="185"/>
      <c r="H183" s="186"/>
      <c r="I183" s="81">
        <f t="shared" si="4"/>
        <v>0</v>
      </c>
      <c r="J183" s="86"/>
      <c r="K183" s="80"/>
      <c r="L183" s="185"/>
      <c r="M183" s="151"/>
    </row>
    <row r="184">
      <c r="A184" s="192" t="s">
        <v>859</v>
      </c>
      <c r="B184" s="238" t="str">
        <f>HYPERLINK("http://codeforces.com/contest/596/problem/C","CF596-D2-C")</f>
        <v>CF596-D2-C</v>
      </c>
      <c r="C184" s="185"/>
      <c r="D184" s="185"/>
      <c r="E184" s="185"/>
      <c r="F184" s="185"/>
      <c r="G184" s="185"/>
      <c r="H184" s="186"/>
      <c r="I184" s="81">
        <f t="shared" si="4"/>
        <v>0</v>
      </c>
      <c r="J184" s="86"/>
      <c r="K184" s="80"/>
      <c r="L184" s="185"/>
      <c r="M184" s="151"/>
    </row>
    <row r="185">
      <c r="A185" s="192" t="s">
        <v>860</v>
      </c>
      <c r="B185" s="238" t="str">
        <f>HYPERLINK("http://codeforces.com/contest/284/problem/C","CF284-D2-C")</f>
        <v>CF284-D2-C</v>
      </c>
      <c r="C185" s="185"/>
      <c r="D185" s="185"/>
      <c r="E185" s="185"/>
      <c r="F185" s="185"/>
      <c r="G185" s="185"/>
      <c r="H185" s="186"/>
      <c r="I185" s="81">
        <f t="shared" si="4"/>
        <v>0</v>
      </c>
      <c r="J185" s="86"/>
      <c r="K185" s="80"/>
      <c r="L185" s="185"/>
      <c r="M185" s="151"/>
    </row>
    <row r="186">
      <c r="A186" s="192" t="s">
        <v>861</v>
      </c>
      <c r="B186" s="238" t="str">
        <f>HYPERLINK("http://codeforces.com/contest/279/problem/C","CF279-D2-C")</f>
        <v>CF279-D2-C</v>
      </c>
      <c r="C186" s="185"/>
      <c r="D186" s="185"/>
      <c r="E186" s="185"/>
      <c r="F186" s="185"/>
      <c r="G186" s="185"/>
      <c r="H186" s="186"/>
      <c r="I186" s="81">
        <f t="shared" si="4"/>
        <v>0</v>
      </c>
      <c r="J186" s="86"/>
      <c r="K186" s="80"/>
      <c r="L186" s="185"/>
      <c r="M186" s="151"/>
    </row>
    <row r="187">
      <c r="A187" s="192" t="s">
        <v>862</v>
      </c>
      <c r="B187" s="238" t="str">
        <f>HYPERLINK("http://codeforces.com/contest/239/problem/C","CF239-D2-C")</f>
        <v>CF239-D2-C</v>
      </c>
      <c r="C187" s="185"/>
      <c r="D187" s="185"/>
      <c r="E187" s="185"/>
      <c r="F187" s="185"/>
      <c r="G187" s="185"/>
      <c r="H187" s="186"/>
      <c r="I187" s="81">
        <f t="shared" si="4"/>
        <v>0</v>
      </c>
      <c r="J187" s="86"/>
      <c r="K187" s="80"/>
      <c r="L187" s="185"/>
      <c r="M187" s="151"/>
    </row>
    <row r="188">
      <c r="A188" s="192" t="s">
        <v>863</v>
      </c>
      <c r="B188" s="238" t="str">
        <f>HYPERLINK("http://codeforces.com/contest/254/problem/C","CF254-D2-C")</f>
        <v>CF254-D2-C</v>
      </c>
      <c r="C188" s="185"/>
      <c r="D188" s="185"/>
      <c r="E188" s="185"/>
      <c r="F188" s="185"/>
      <c r="G188" s="185"/>
      <c r="H188" s="186"/>
      <c r="I188" s="81">
        <f t="shared" si="4"/>
        <v>0</v>
      </c>
      <c r="J188" s="86"/>
      <c r="K188" s="80"/>
      <c r="L188" s="185"/>
      <c r="M188" s="151"/>
    </row>
    <row r="189">
      <c r="A189" s="192" t="s">
        <v>864</v>
      </c>
      <c r="B189" s="238" t="str">
        <f>HYPERLINK("http://codeforces.com/contest/447/problem/C","CF447-D2-C")</f>
        <v>CF447-D2-C</v>
      </c>
      <c r="C189" s="185"/>
      <c r="D189" s="185"/>
      <c r="E189" s="185"/>
      <c r="F189" s="185"/>
      <c r="G189" s="185"/>
      <c r="H189" s="186"/>
      <c r="I189" s="81">
        <f t="shared" si="4"/>
        <v>0</v>
      </c>
      <c r="J189" s="86"/>
      <c r="K189" s="80"/>
      <c r="L189" s="185"/>
      <c r="M189" s="151"/>
    </row>
    <row r="190">
      <c r="A190" s="192" t="s">
        <v>865</v>
      </c>
      <c r="B190" s="238" t="str">
        <f>HYPERLINK("http://codeforces.com/contest/445/problem/C","CF445-D2-C")</f>
        <v>CF445-D2-C</v>
      </c>
      <c r="C190" s="185"/>
      <c r="D190" s="185"/>
      <c r="E190" s="185"/>
      <c r="F190" s="185"/>
      <c r="G190" s="185"/>
      <c r="H190" s="186"/>
      <c r="I190" s="81">
        <f t="shared" si="4"/>
        <v>0</v>
      </c>
      <c r="J190" s="86"/>
      <c r="K190" s="80"/>
      <c r="L190" s="185"/>
      <c r="M190" s="151"/>
    </row>
    <row r="191">
      <c r="A191" s="192" t="s">
        <v>866</v>
      </c>
      <c r="B191" s="238" t="str">
        <f>HYPERLINK("http://codeforces.com/contest/501/problem/C","CF501-D2-C")</f>
        <v>CF501-D2-C</v>
      </c>
      <c r="C191" s="185"/>
      <c r="D191" s="185"/>
      <c r="E191" s="185"/>
      <c r="F191" s="185"/>
      <c r="G191" s="185"/>
      <c r="H191" s="186"/>
      <c r="I191" s="81">
        <f t="shared" si="4"/>
        <v>0</v>
      </c>
      <c r="J191" s="86"/>
      <c r="K191" s="80"/>
      <c r="L191" s="185"/>
      <c r="M191" s="151"/>
    </row>
    <row r="192">
      <c r="A192" s="192" t="s">
        <v>867</v>
      </c>
      <c r="B192" s="238" t="str">
        <f>HYPERLINK("http://codeforces.com/contest/450/problem/C","CF450-D2-C")</f>
        <v>CF450-D2-C</v>
      </c>
      <c r="C192" s="185"/>
      <c r="D192" s="185"/>
      <c r="E192" s="185"/>
      <c r="F192" s="185"/>
      <c r="G192" s="185"/>
      <c r="H192" s="186"/>
      <c r="I192" s="81">
        <f t="shared" si="4"/>
        <v>0</v>
      </c>
      <c r="J192" s="86"/>
      <c r="K192" s="80"/>
      <c r="L192" s="185"/>
      <c r="M192" s="151"/>
    </row>
    <row r="193">
      <c r="A193" s="192" t="s">
        <v>868</v>
      </c>
      <c r="B193" s="264" t="str">
        <f>HYPERLINK("http://codeforces.com/contest/670/problem/C","CF670-D2-C")</f>
        <v>CF670-D2-C</v>
      </c>
      <c r="C193" s="50"/>
      <c r="D193" s="50"/>
      <c r="E193" s="50"/>
      <c r="F193" s="50"/>
      <c r="G193" s="50"/>
      <c r="H193" s="50"/>
      <c r="I193" s="127">
        <f t="shared" si="4"/>
        <v>0</v>
      </c>
      <c r="J193" s="117"/>
      <c r="K193" s="116"/>
      <c r="L193" s="50"/>
      <c r="M193" s="47"/>
    </row>
    <row r="194">
      <c r="A194" s="192"/>
      <c r="B194" s="87"/>
      <c r="C194" s="185"/>
      <c r="D194" s="185"/>
      <c r="E194" s="185"/>
      <c r="F194" s="185"/>
      <c r="G194" s="185"/>
      <c r="H194" s="186"/>
      <c r="I194" s="81">
        <f t="shared" si="4"/>
        <v>0</v>
      </c>
      <c r="J194" s="86"/>
      <c r="K194" s="80"/>
      <c r="L194" s="185"/>
      <c r="M194" s="151"/>
    </row>
    <row r="195">
      <c r="A195" s="192" t="s">
        <v>869</v>
      </c>
      <c r="B195" s="238" t="str">
        <f>HYPERLINK("http://codeforces.com/contest/631/problem/C","CF631-D2-C")</f>
        <v>CF631-D2-C</v>
      </c>
      <c r="C195" s="185"/>
      <c r="D195" s="185"/>
      <c r="E195" s="185"/>
      <c r="F195" s="185"/>
      <c r="G195" s="185"/>
      <c r="H195" s="186"/>
      <c r="I195" s="81">
        <f t="shared" si="4"/>
        <v>0</v>
      </c>
      <c r="J195" s="86"/>
      <c r="K195" s="80"/>
      <c r="L195" s="185"/>
      <c r="M195" s="151"/>
    </row>
    <row r="196">
      <c r="A196" s="192" t="s">
        <v>870</v>
      </c>
      <c r="B196" s="238" t="str">
        <f>HYPERLINK("http://codeforces.com/contest/385/problem/C","CF385-D2-C")</f>
        <v>CF385-D2-C</v>
      </c>
      <c r="C196" s="185"/>
      <c r="D196" s="185"/>
      <c r="E196" s="185"/>
      <c r="F196" s="185"/>
      <c r="G196" s="185"/>
      <c r="H196" s="186"/>
      <c r="I196" s="81">
        <f t="shared" si="4"/>
        <v>0</v>
      </c>
      <c r="J196" s="86"/>
      <c r="K196" s="80"/>
      <c r="L196" s="185"/>
      <c r="M196" s="151"/>
    </row>
    <row r="197">
      <c r="A197" s="192" t="s">
        <v>871</v>
      </c>
      <c r="B197" s="238" t="str">
        <f>HYPERLINK("http://codeforces.com/contest/90/problem/C","CF90-D2-C")</f>
        <v>CF90-D2-C</v>
      </c>
      <c r="C197" s="185"/>
      <c r="D197" s="185"/>
      <c r="E197" s="185"/>
      <c r="F197" s="185"/>
      <c r="G197" s="185"/>
      <c r="H197" s="186"/>
      <c r="I197" s="81">
        <f t="shared" si="4"/>
        <v>0</v>
      </c>
      <c r="J197" s="86"/>
      <c r="K197" s="80"/>
      <c r="L197" s="185"/>
      <c r="M197" s="151"/>
    </row>
    <row r="198">
      <c r="A198" s="192" t="s">
        <v>872</v>
      </c>
      <c r="B198" s="238" t="str">
        <f>HYPERLINK("http://codeforces.com/contest/493/problem/C","CF493-D2-C")</f>
        <v>CF493-D2-C</v>
      </c>
      <c r="C198" s="185"/>
      <c r="D198" s="185"/>
      <c r="E198" s="185"/>
      <c r="F198" s="185"/>
      <c r="G198" s="185"/>
      <c r="H198" s="186"/>
      <c r="I198" s="81">
        <f t="shared" si="4"/>
        <v>0</v>
      </c>
      <c r="J198" s="86"/>
      <c r="K198" s="80"/>
      <c r="L198" s="185"/>
      <c r="M198" s="151"/>
    </row>
    <row r="199">
      <c r="A199" s="192" t="s">
        <v>873</v>
      </c>
      <c r="B199" s="238" t="str">
        <f>HYPERLINK("http://codeforces.com/contest/552/problem/C","CF552-D2-C")</f>
        <v>CF552-D2-C</v>
      </c>
      <c r="C199" s="185"/>
      <c r="D199" s="185"/>
      <c r="E199" s="185"/>
      <c r="F199" s="185"/>
      <c r="G199" s="185"/>
      <c r="H199" s="186"/>
      <c r="I199" s="81">
        <f t="shared" si="4"/>
        <v>0</v>
      </c>
      <c r="J199" s="86"/>
      <c r="K199" s="80"/>
      <c r="L199" s="185"/>
      <c r="M199" s="151"/>
    </row>
    <row r="200">
      <c r="A200" s="192" t="s">
        <v>874</v>
      </c>
      <c r="B200" s="238" t="str">
        <f>HYPERLINK("http://codeforces.com/contest/459/problem/C","CF459-D2-C")</f>
        <v>CF459-D2-C</v>
      </c>
      <c r="C200" s="185"/>
      <c r="D200" s="185"/>
      <c r="E200" s="185"/>
      <c r="F200" s="185"/>
      <c r="G200" s="185"/>
      <c r="H200" s="186"/>
      <c r="I200" s="81">
        <f t="shared" si="4"/>
        <v>0</v>
      </c>
      <c r="J200" s="86"/>
      <c r="K200" s="80"/>
      <c r="L200" s="185"/>
      <c r="M200" s="151"/>
    </row>
    <row r="201">
      <c r="A201" s="110" t="s">
        <v>875</v>
      </c>
      <c r="B201" s="152" t="str">
        <f>HYPERLINK("http://codeforces.com/contest/118/problem/C","CF118-D2-C")</f>
        <v>CF118-D2-C</v>
      </c>
      <c r="C201" s="50"/>
      <c r="D201" s="50"/>
      <c r="E201" s="50"/>
      <c r="F201" s="50"/>
      <c r="G201" s="50"/>
      <c r="H201" s="50"/>
      <c r="I201" s="127">
        <f t="shared" si="4"/>
        <v>0</v>
      </c>
      <c r="J201" s="117"/>
      <c r="K201" s="116"/>
      <c r="L201" s="50"/>
      <c r="M201" s="47"/>
    </row>
  </sheetData>
  <mergeCells count="2">
    <mergeCell ref="D156:G156"/>
    <mergeCell ref="J156:M156"/>
  </mergeCells>
  <conditionalFormatting sqref="K3:K154 K158:K201">
    <cfRule type="cellIs" dxfId="5" priority="1" operator="equal">
      <formula>"No"</formula>
    </cfRule>
  </conditionalFormatting>
  <conditionalFormatting sqref="K3:K154 K158:K201">
    <cfRule type="cellIs" dxfId="5" priority="2" operator="equal">
      <formula>"no"</formula>
    </cfRule>
  </conditionalFormatting>
  <conditionalFormatting sqref="K3:K154 K158:K201">
    <cfRule type="cellIs" dxfId="5" priority="3" operator="equal">
      <formula>"NO"</formula>
    </cfRule>
  </conditionalFormatting>
  <conditionalFormatting sqref="C3:C201">
    <cfRule type="cellIs" dxfId="0" priority="4" operator="equal">
      <formula>"AC"</formula>
    </cfRule>
  </conditionalFormatting>
  <conditionalFormatting sqref="C3:C154 C158:C201">
    <cfRule type="containsText" dxfId="1" priority="5" operator="containsText" text="WA">
      <formula>NOT(ISERROR(SEARCH(("WA"),(C3))))</formula>
    </cfRule>
  </conditionalFormatting>
  <conditionalFormatting sqref="C19:C201">
    <cfRule type="containsText" dxfId="1" priority="6" operator="containsText" text="WA">
      <formula>NOT(ISERROR(SEARCH(("WA"),(C19))))</formula>
    </cfRule>
  </conditionalFormatting>
  <conditionalFormatting sqref="C3:C154 C158:C201">
    <cfRule type="containsText" dxfId="2" priority="7" operator="containsText" text="TLE">
      <formula>NOT(ISERROR(SEARCH(("TLE"),(C3))))</formula>
    </cfRule>
  </conditionalFormatting>
  <conditionalFormatting sqref="C19:C201">
    <cfRule type="containsText" dxfId="2" priority="8" operator="containsText" text="TLE">
      <formula>NOT(ISERROR(SEARCH(("TLE"),(C19))))</formula>
    </cfRule>
  </conditionalFormatting>
  <conditionalFormatting sqref="C3:C154 C158:C201">
    <cfRule type="containsText" dxfId="3" priority="9" operator="containsText" text="RTE">
      <formula>NOT(ISERROR(SEARCH(("RTE"),(C3))))</formula>
    </cfRule>
  </conditionalFormatting>
  <conditionalFormatting sqref="C19:C201">
    <cfRule type="containsText" dxfId="3" priority="10" operator="containsText" text="RTE">
      <formula>NOT(ISERROR(SEARCH(("RTE"),(C19))))</formula>
    </cfRule>
  </conditionalFormatting>
  <conditionalFormatting sqref="C3:C154 C158:C201">
    <cfRule type="containsText" dxfId="4" priority="11" operator="containsText" text="CS">
      <formula>NOT(ISERROR(SEARCH(("CS"),(C3))))</formula>
    </cfRule>
  </conditionalFormatting>
  <conditionalFormatting sqref="C19:C201">
    <cfRule type="containsText" dxfId="4"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86"/>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0.43"/>
  </cols>
  <sheetData>
    <row r="1">
      <c r="A1" s="182" t="s">
        <v>143</v>
      </c>
      <c r="B1" s="67" t="s">
        <v>144</v>
      </c>
      <c r="C1" s="68" t="s">
        <v>145</v>
      </c>
      <c r="D1" s="69" t="s">
        <v>146</v>
      </c>
      <c r="E1" s="69" t="s">
        <v>147</v>
      </c>
      <c r="F1" s="68" t="s">
        <v>148</v>
      </c>
      <c r="G1" s="69" t="s">
        <v>149</v>
      </c>
      <c r="H1" s="69" t="s">
        <v>150</v>
      </c>
      <c r="I1" s="69" t="s">
        <v>151</v>
      </c>
      <c r="J1" s="68" t="s">
        <v>152</v>
      </c>
      <c r="K1" s="68" t="s">
        <v>153</v>
      </c>
      <c r="L1" s="68" t="s">
        <v>154</v>
      </c>
      <c r="M1" s="70" t="s">
        <v>155</v>
      </c>
    </row>
    <row r="2">
      <c r="A2" s="183"/>
      <c r="B2" s="184" t="s">
        <v>156</v>
      </c>
      <c r="C2" s="73">
        <f>countif(C23:C10545, "AC")</f>
        <v>0</v>
      </c>
      <c r="D2" s="74">
        <f>ROUND(SUMPRODUCT(D23:D10545,INT(EQ(C23:C10545, "AC")))/MAX(1, C2),1)</f>
        <v>0</v>
      </c>
      <c r="E2" s="74">
        <f>ROUND(SUMPRODUCT(E23:E10567,INT(EQ(C23:C10567, "AC")))/MAX(1, C2),0)</f>
        <v>0</v>
      </c>
      <c r="F2" s="74">
        <f>ROUND(SUMPRODUCT(F23:F10570,INT(EQ(C23:C10570, "AC")))/MAX(1, C2),0)</f>
        <v>0</v>
      </c>
      <c r="G2" s="74">
        <f>ROUND(SUMPRODUCT(G23:G10570,INT(EQ(C23:C10570, "AC")))/MAX(1, C2),0)</f>
        <v>0</v>
      </c>
      <c r="H2" s="74">
        <f>ROUND(SUMPRODUCT(H23:H10570,INT(EQ(C23:C10570, "AC")))/MAX(1, C2),0)</f>
        <v>0</v>
      </c>
      <c r="I2" s="74">
        <f>ROUND(SUMPRODUCT(I23:I10542,INT(EQ(C23:C10542, "AC")))/MAX(1, C2),0)</f>
        <v>0</v>
      </c>
      <c r="J2" s="74">
        <f>ROUND(SUMPRODUCT(J23:J10540,INT(EQ(C23:C10540, "AC")))/MAX(1, C2),1)</f>
        <v>0</v>
      </c>
      <c r="K2" s="74">
        <f>SUMPRODUCT(EQ(K23:K10545, "YES"),INT(EQ(C23:C10570, "AC")))</f>
        <v>0</v>
      </c>
      <c r="L2" s="75">
        <f>IFERROR(__xludf.DUMMYFUNCTION("COUNTA(FILTER(C23:C10037, NOT(REGEXMATCH(C23:C10037, ""AC""))))"),0.0)</f>
        <v>0</v>
      </c>
      <c r="M2" s="76">
        <f>IFERROR(__xludf.DUMMYFUNCTION("COUNTA(FILTER(C23:C10031, NOT(REGEXMATCH(C23:C10031, ""AC""))))"),0.0)</f>
        <v>0</v>
      </c>
    </row>
    <row r="3">
      <c r="A3" s="110" t="s">
        <v>876</v>
      </c>
      <c r="B3" s="213" t="str">
        <f>HYPERLINK("http://codeforces.com/contest/63/problem/D","CF63-D2-D")</f>
        <v>CF63-D2-D</v>
      </c>
      <c r="C3" s="50"/>
      <c r="D3" s="287"/>
      <c r="E3" s="287"/>
      <c r="F3" s="50"/>
      <c r="G3" s="50"/>
      <c r="H3" s="50"/>
      <c r="I3" s="127">
        <f t="shared" ref="I3:I160" si="1">SUM(E3:H3)</f>
        <v>0</v>
      </c>
      <c r="J3" s="47"/>
      <c r="K3" s="50"/>
      <c r="L3" s="50"/>
      <c r="M3" s="50"/>
    </row>
    <row r="4">
      <c r="A4" s="110" t="s">
        <v>877</v>
      </c>
      <c r="B4" s="213" t="str">
        <f>HYPERLINK("http://codeforces.com/contest/474/problem/D","CF474-D2-D")</f>
        <v>CF474-D2-D</v>
      </c>
      <c r="C4" s="50"/>
      <c r="D4" s="287"/>
      <c r="E4" s="287"/>
      <c r="F4" s="50"/>
      <c r="G4" s="50"/>
      <c r="H4" s="50"/>
      <c r="I4" s="127">
        <f t="shared" si="1"/>
        <v>0</v>
      </c>
      <c r="J4" s="117"/>
      <c r="K4" s="116"/>
      <c r="L4" s="50"/>
      <c r="M4" s="128" t="str">
        <f>HYPERLINK("https://www.youtube.com/watch?v=uRCruqJOQXw","Video Solution - Solver to be (Java)")</f>
        <v>Video Solution - Solver to be (Java)</v>
      </c>
    </row>
    <row r="5">
      <c r="A5" s="110" t="s">
        <v>878</v>
      </c>
      <c r="B5" s="213" t="str">
        <f>HYPERLINK("http://codeforces.com/contest/400/problem/D","CF400-D2-D")</f>
        <v>CF400-D2-D</v>
      </c>
      <c r="C5" s="50"/>
      <c r="D5" s="287"/>
      <c r="E5" s="287"/>
      <c r="F5" s="50"/>
      <c r="G5" s="50"/>
      <c r="H5" s="50"/>
      <c r="I5" s="127">
        <f t="shared" si="1"/>
        <v>0</v>
      </c>
      <c r="J5" s="117"/>
      <c r="K5" s="116"/>
      <c r="L5" s="50"/>
      <c r="M5" s="110"/>
    </row>
    <row r="6">
      <c r="A6" s="110"/>
      <c r="B6" s="213" t="str">
        <f>HYPERLINK("http://codeforces.com/contest/1043/problem/C","CF1043-D12-C")</f>
        <v>CF1043-D12-C</v>
      </c>
      <c r="C6" s="50"/>
      <c r="D6" s="287"/>
      <c r="E6" s="287"/>
      <c r="F6" s="50"/>
      <c r="G6" s="50"/>
      <c r="H6" s="50"/>
      <c r="I6" s="127">
        <f t="shared" si="1"/>
        <v>0</v>
      </c>
      <c r="J6" s="117"/>
      <c r="K6" s="116"/>
      <c r="L6" s="50"/>
      <c r="M6" s="110"/>
    </row>
    <row r="7">
      <c r="A7" s="110"/>
      <c r="B7" s="213" t="str">
        <f>HYPERLINK("https://codeforces.com/contest/1033/problem/C","CF1033-D12-C")</f>
        <v>CF1033-D12-C</v>
      </c>
      <c r="C7" s="50"/>
      <c r="D7" s="287"/>
      <c r="E7" s="287"/>
      <c r="F7" s="50"/>
      <c r="G7" s="50"/>
      <c r="H7" s="50"/>
      <c r="I7" s="127">
        <f t="shared" si="1"/>
        <v>0</v>
      </c>
      <c r="J7" s="117"/>
      <c r="K7" s="116"/>
      <c r="L7" s="50"/>
      <c r="M7" s="110"/>
    </row>
    <row r="8">
      <c r="A8" s="110"/>
      <c r="B8" s="213" t="str">
        <f>HYPERLINK("https://codeforces.com/contest/1066/problem/E","CF1066-D3-E")</f>
        <v>CF1066-D3-E</v>
      </c>
      <c r="C8" s="50"/>
      <c r="D8" s="287"/>
      <c r="E8" s="287"/>
      <c r="F8" s="50"/>
      <c r="G8" s="50"/>
      <c r="H8" s="50"/>
      <c r="I8" s="127">
        <f t="shared" si="1"/>
        <v>0</v>
      </c>
      <c r="J8" s="117"/>
      <c r="K8" s="116"/>
      <c r="L8" s="50"/>
      <c r="M8" s="110"/>
    </row>
    <row r="9">
      <c r="A9" s="110"/>
      <c r="B9" s="213" t="str">
        <f>HYPERLINK("http://codeforces.com/contest/534/problem/D","CF534-D2-D")</f>
        <v>CF534-D2-D</v>
      </c>
      <c r="C9" s="50"/>
      <c r="D9" s="287"/>
      <c r="E9" s="287"/>
      <c r="F9" s="50"/>
      <c r="G9" s="50"/>
      <c r="H9" s="50"/>
      <c r="I9" s="127">
        <f t="shared" si="1"/>
        <v>0</v>
      </c>
      <c r="J9" s="117"/>
      <c r="K9" s="116"/>
      <c r="L9" s="50"/>
      <c r="M9" s="110"/>
    </row>
    <row r="10">
      <c r="A10" s="110"/>
      <c r="B10" s="213" t="str">
        <f>HYPERLINK("http://codeforces.com/problemset/problem/899/E","CF899-D2-E")</f>
        <v>CF899-D2-E</v>
      </c>
      <c r="C10" s="50"/>
      <c r="D10" s="287"/>
      <c r="E10" s="287"/>
      <c r="F10" s="50"/>
      <c r="G10" s="50"/>
      <c r="H10" s="50"/>
      <c r="I10" s="127">
        <f t="shared" si="1"/>
        <v>0</v>
      </c>
      <c r="J10" s="117"/>
      <c r="K10" s="116"/>
      <c r="L10" s="50"/>
      <c r="M10" s="110"/>
    </row>
    <row r="11">
      <c r="A11" s="110"/>
      <c r="B11" s="213" t="str">
        <f>HYPERLINK("http://codeforces.com/contest/729/problem/D","CF729-D12-D")</f>
        <v>CF729-D12-D</v>
      </c>
      <c r="C11" s="50"/>
      <c r="D11" s="287"/>
      <c r="E11" s="287"/>
      <c r="F11" s="50"/>
      <c r="G11" s="50"/>
      <c r="H11" s="50"/>
      <c r="I11" s="127">
        <f t="shared" si="1"/>
        <v>0</v>
      </c>
      <c r="J11" s="117"/>
      <c r="K11" s="116"/>
      <c r="L11" s="50"/>
      <c r="M11" s="110"/>
    </row>
    <row r="12">
      <c r="A12" s="242" t="s">
        <v>879</v>
      </c>
      <c r="B12" s="288" t="str">
        <f>HYPERLINK("http://codeforces.com/contest/340/problem/C","CF340-D2-C")</f>
        <v>CF340-D2-C</v>
      </c>
      <c r="C12" s="50"/>
      <c r="D12" s="287"/>
      <c r="E12" s="287"/>
      <c r="F12" s="50"/>
      <c r="G12" s="50"/>
      <c r="H12" s="50"/>
      <c r="I12" s="127">
        <f t="shared" si="1"/>
        <v>0</v>
      </c>
      <c r="J12" s="117"/>
      <c r="K12" s="116"/>
      <c r="L12" s="50"/>
      <c r="M12" s="110"/>
    </row>
    <row r="13">
      <c r="A13" s="242" t="s">
        <v>880</v>
      </c>
      <c r="B13" s="288" t="str">
        <f>HYPERLINK("http://codeforces.com/contest/697/problem/C","CF697-D2-C")</f>
        <v>CF697-D2-C</v>
      </c>
      <c r="C13" s="50"/>
      <c r="D13" s="287"/>
      <c r="E13" s="287"/>
      <c r="F13" s="50"/>
      <c r="G13" s="50"/>
      <c r="H13" s="50"/>
      <c r="I13" s="127">
        <f t="shared" si="1"/>
        <v>0</v>
      </c>
      <c r="J13" s="117"/>
      <c r="K13" s="116"/>
      <c r="L13" s="50"/>
      <c r="M13" s="110"/>
    </row>
    <row r="14">
      <c r="A14" s="242" t="s">
        <v>881</v>
      </c>
      <c r="B14" s="288" t="str">
        <f>HYPERLINK("http://codeforces.com/contest/404/problem/C","CF404-D2-C")</f>
        <v>CF404-D2-C</v>
      </c>
      <c r="C14" s="50"/>
      <c r="D14" s="287"/>
      <c r="E14" s="287"/>
      <c r="F14" s="50"/>
      <c r="G14" s="50"/>
      <c r="H14" s="50"/>
      <c r="I14" s="127">
        <f t="shared" si="1"/>
        <v>0</v>
      </c>
      <c r="J14" s="117"/>
      <c r="K14" s="116"/>
      <c r="L14" s="50"/>
      <c r="M14" s="110"/>
    </row>
    <row r="15">
      <c r="A15" s="285"/>
      <c r="B15" s="289" t="str">
        <f>HYPERLINK("http://codeforces.com/contest/309/problem/C","CF309-D1-C")</f>
        <v>CF309-D1-C</v>
      </c>
      <c r="C15" s="50"/>
      <c r="D15" s="287"/>
      <c r="E15" s="287"/>
      <c r="F15" s="50"/>
      <c r="G15" s="50"/>
      <c r="H15" s="50"/>
      <c r="I15" s="127">
        <f t="shared" si="1"/>
        <v>0</v>
      </c>
      <c r="J15" s="86"/>
      <c r="K15" s="80"/>
      <c r="L15" s="50"/>
      <c r="M15" s="290"/>
    </row>
    <row r="16">
      <c r="A16" s="291"/>
      <c r="B16" s="292" t="str">
        <f>HYPERLINK("http://codeforces.com/contest/101/problem/B","CF101-D1-B")</f>
        <v>CF101-D1-B</v>
      </c>
      <c r="C16" s="50"/>
      <c r="D16" s="287"/>
      <c r="E16" s="287"/>
      <c r="F16" s="50"/>
      <c r="G16" s="50"/>
      <c r="H16" s="50"/>
      <c r="I16" s="127">
        <f t="shared" si="1"/>
        <v>0</v>
      </c>
      <c r="J16" s="86"/>
      <c r="K16" s="80"/>
      <c r="L16" s="50"/>
      <c r="M16" s="238" t="str">
        <f>HYPERLINK("https://github.com/Huvok/CompetitiveProgramming/blob/master/Codeforces/CF101-D1-B.cpp","Sol")</f>
        <v>Sol</v>
      </c>
    </row>
    <row r="17">
      <c r="A17" s="291"/>
      <c r="B17" s="291" t="s">
        <v>882</v>
      </c>
      <c r="C17" s="50"/>
      <c r="D17" s="287"/>
      <c r="E17" s="287"/>
      <c r="F17" s="50"/>
      <c r="G17" s="50"/>
      <c r="H17" s="50"/>
      <c r="I17" s="127">
        <f t="shared" si="1"/>
        <v>0</v>
      </c>
      <c r="J17" s="86"/>
      <c r="K17" s="80"/>
      <c r="L17" s="50"/>
      <c r="M17" s="87"/>
    </row>
    <row r="18">
      <c r="A18" s="291"/>
      <c r="B18" s="292" t="str">
        <f>HYPERLINK("http://codeforces.com/problemset/problem/961/D","CF961-D12-D")</f>
        <v>CF961-D12-D</v>
      </c>
      <c r="C18" s="50"/>
      <c r="D18" s="287"/>
      <c r="E18" s="287"/>
      <c r="F18" s="50"/>
      <c r="G18" s="50"/>
      <c r="H18" s="50"/>
      <c r="I18" s="127">
        <f t="shared" si="1"/>
        <v>0</v>
      </c>
      <c r="J18" s="86"/>
      <c r="K18" s="80"/>
      <c r="L18" s="50"/>
      <c r="M18" s="87"/>
    </row>
    <row r="19">
      <c r="A19" s="291"/>
      <c r="B19" s="292" t="str">
        <f>HYPERLINK("http://codeforces.com/problemset/problem/955/C","CF955-D2-C")</f>
        <v>CF955-D2-C</v>
      </c>
      <c r="C19" s="50"/>
      <c r="D19" s="287"/>
      <c r="E19" s="287"/>
      <c r="F19" s="50"/>
      <c r="G19" s="50"/>
      <c r="H19" s="50"/>
      <c r="I19" s="127">
        <f t="shared" si="1"/>
        <v>0</v>
      </c>
      <c r="J19" s="86"/>
      <c r="K19" s="80"/>
      <c r="L19" s="50"/>
      <c r="M19" s="87"/>
    </row>
    <row r="20">
      <c r="A20" s="291"/>
      <c r="B20" s="291" t="s">
        <v>883</v>
      </c>
      <c r="C20" s="50"/>
      <c r="D20" s="287"/>
      <c r="E20" s="287"/>
      <c r="F20" s="50"/>
      <c r="G20" s="50"/>
      <c r="H20" s="50"/>
      <c r="I20" s="127">
        <f t="shared" si="1"/>
        <v>0</v>
      </c>
      <c r="J20" s="86"/>
      <c r="K20" s="80"/>
      <c r="L20" s="50"/>
      <c r="M20" s="238" t="str">
        <f>HYPERLINK("https://pastebin.com/WHzEMUew","Sol")</f>
        <v>Sol</v>
      </c>
    </row>
    <row r="21">
      <c r="A21" s="291"/>
      <c r="B21" s="292" t="str">
        <f>HYPERLINK("http://codeforces.com/contest/372/problem/B","CF372-D1-B")</f>
        <v>CF372-D1-B</v>
      </c>
      <c r="C21" s="50"/>
      <c r="D21" s="287"/>
      <c r="E21" s="287"/>
      <c r="F21" s="50"/>
      <c r="G21" s="50"/>
      <c r="H21" s="50"/>
      <c r="I21" s="127">
        <f t="shared" si="1"/>
        <v>0</v>
      </c>
      <c r="J21" s="86"/>
      <c r="K21" s="80"/>
      <c r="L21" s="50"/>
      <c r="M21" s="87"/>
    </row>
    <row r="22">
      <c r="A22" s="293"/>
      <c r="B22" s="294"/>
      <c r="C22" s="50"/>
      <c r="D22" s="287"/>
      <c r="E22" s="287"/>
      <c r="F22" s="50"/>
      <c r="G22" s="50"/>
      <c r="H22" s="50"/>
      <c r="I22" s="127">
        <f t="shared" si="1"/>
        <v>0</v>
      </c>
      <c r="J22" s="86"/>
      <c r="K22" s="80"/>
      <c r="L22" s="50"/>
      <c r="M22" s="290" t="str">
        <f>HYPERLINK("https://www.youtube.com/watch?v=OLu5oskGGqw&amp;list=PLPt2dINI2MIZX2EtY81WI-lDkvhKziLKM&amp;index=11","Watch - Data Structures - Segment Tree (2 vid)")</f>
        <v>Watch - Data Structures - Segment Tree (2 vid)</v>
      </c>
    </row>
    <row r="23">
      <c r="A23" s="295" t="s">
        <v>884</v>
      </c>
      <c r="B23" s="296" t="str">
        <f>HYPERLINK("https://uva.onlinejudge.org/index.php?option=com_onlinejudge&amp;Itemid=8&amp;page=show_problem&amp;problem=3977","UVA 12532")</f>
        <v>UVA 12532</v>
      </c>
      <c r="C23" s="50"/>
      <c r="D23" s="287"/>
      <c r="E23" s="287"/>
      <c r="F23" s="50"/>
      <c r="G23" s="50"/>
      <c r="H23" s="50"/>
      <c r="I23" s="127">
        <f t="shared" si="1"/>
        <v>0</v>
      </c>
      <c r="J23" s="86"/>
      <c r="K23" s="80"/>
      <c r="L23" s="50"/>
      <c r="M23" s="110"/>
    </row>
    <row r="24">
      <c r="A24" s="297" t="s">
        <v>885</v>
      </c>
      <c r="B24" s="298" t="str">
        <f>HYPERLINK("https://icpcarchive.ecs.baylor.edu/index.php?option=com_onlinejudge&amp;Itemid=8&amp;page=show_problem&amp;problem=192","LIVEARCHIVE 2191")</f>
        <v>LIVEARCHIVE 2191</v>
      </c>
      <c r="C24" s="50"/>
      <c r="D24" s="287"/>
      <c r="E24" s="287"/>
      <c r="F24" s="50"/>
      <c r="G24" s="50"/>
      <c r="H24" s="50"/>
      <c r="I24" s="127">
        <f t="shared" si="1"/>
        <v>0</v>
      </c>
      <c r="J24" s="86"/>
      <c r="K24" s="80"/>
      <c r="L24" s="50"/>
      <c r="M24" s="110"/>
    </row>
    <row r="25">
      <c r="A25" s="299" t="s">
        <v>886</v>
      </c>
      <c r="B25" s="298" t="str">
        <f>HYPERLINK("http://www.spoj.com/problems/CDC12_H","SPOJ CDC12_H")</f>
        <v>SPOJ CDC12_H</v>
      </c>
      <c r="C25" s="50"/>
      <c r="D25" s="287"/>
      <c r="E25" s="287"/>
      <c r="F25" s="50"/>
      <c r="G25" s="50"/>
      <c r="H25" s="50"/>
      <c r="I25" s="127">
        <f t="shared" si="1"/>
        <v>0</v>
      </c>
      <c r="J25" s="117"/>
      <c r="K25" s="116"/>
      <c r="L25" s="50"/>
      <c r="M25" s="50"/>
    </row>
    <row r="26">
      <c r="A26" s="297" t="s">
        <v>887</v>
      </c>
      <c r="B26" s="298" t="str">
        <f>HYPERLINK("http://www.spoj.com/problems/CNTPRIME","SPOJ CNTPRIME")</f>
        <v>SPOJ CNTPRIME</v>
      </c>
      <c r="C26" s="50"/>
      <c r="D26" s="287"/>
      <c r="E26" s="287"/>
      <c r="F26" s="50"/>
      <c r="G26" s="50"/>
      <c r="H26" s="50"/>
      <c r="I26" s="127">
        <f t="shared" si="1"/>
        <v>0</v>
      </c>
      <c r="J26" s="117"/>
      <c r="K26" s="116"/>
      <c r="L26" s="50"/>
      <c r="M26" s="50"/>
    </row>
    <row r="27">
      <c r="A27" s="297" t="s">
        <v>888</v>
      </c>
      <c r="B27" s="298" t="str">
        <f>HYPERLINK("http://www.spoj.com/problems/HORRIBLE","SPOJ HORRIBLE")</f>
        <v>SPOJ HORRIBLE</v>
      </c>
      <c r="C27" s="50"/>
      <c r="D27" s="287"/>
      <c r="E27" s="287"/>
      <c r="F27" s="50"/>
      <c r="G27" s="50"/>
      <c r="H27" s="50"/>
      <c r="I27" s="127">
        <f t="shared" si="1"/>
        <v>0</v>
      </c>
      <c r="J27" s="47"/>
      <c r="K27" s="50"/>
      <c r="L27" s="50"/>
      <c r="M27" s="50"/>
    </row>
    <row r="28">
      <c r="A28" s="297" t="s">
        <v>889</v>
      </c>
      <c r="B28" s="298" t="str">
        <f>HYPERLINK("http://www.spoj.com/problems/LITE/","SPOJ LITE")</f>
        <v>SPOJ LITE</v>
      </c>
      <c r="C28" s="50"/>
      <c r="D28" s="287"/>
      <c r="E28" s="287"/>
      <c r="F28" s="50"/>
      <c r="G28" s="50"/>
      <c r="H28" s="50"/>
      <c r="I28" s="127">
        <f t="shared" si="1"/>
        <v>0</v>
      </c>
      <c r="J28" s="86"/>
      <c r="K28" s="80"/>
      <c r="L28" s="50"/>
      <c r="M28" s="110"/>
    </row>
    <row r="29">
      <c r="A29" s="300" t="s">
        <v>890</v>
      </c>
      <c r="B29" s="301" t="str">
        <f>HYPERLINK("http://codeforces.com/contest/52/problem/C","CF52-D12-C")</f>
        <v>CF52-D12-C</v>
      </c>
      <c r="C29" s="50"/>
      <c r="D29" s="287"/>
      <c r="E29" s="287"/>
      <c r="F29" s="50"/>
      <c r="G29" s="50"/>
      <c r="H29" s="50"/>
      <c r="I29" s="127">
        <f t="shared" si="1"/>
        <v>0</v>
      </c>
      <c r="J29" s="117"/>
      <c r="K29" s="117"/>
      <c r="L29" s="47"/>
      <c r="M29" s="87"/>
    </row>
    <row r="30">
      <c r="A30" s="297" t="s">
        <v>891</v>
      </c>
      <c r="B30" s="298" t="str">
        <f>HYPERLINK("http://www.spoj.com/problems/CITY2/","SPOJ CITY2")</f>
        <v>SPOJ CITY2</v>
      </c>
      <c r="C30" s="50"/>
      <c r="D30" s="287"/>
      <c r="E30" s="287"/>
      <c r="F30" s="50"/>
      <c r="G30" s="50"/>
      <c r="H30" s="50"/>
      <c r="I30" s="127">
        <f t="shared" si="1"/>
        <v>0</v>
      </c>
      <c r="J30" s="86"/>
      <c r="K30" s="80"/>
      <c r="M30" s="238" t="str">
        <f>HYPERLINK("https://github.com/mostafa-saad/MyCompetitiveProgramming/blob/master/SPOJ/SPOJ_CITY2.txt","Sol")</f>
        <v>Sol</v>
      </c>
    </row>
    <row r="31">
      <c r="A31" s="295" t="s">
        <v>892</v>
      </c>
      <c r="B31" s="298" t="str">
        <f>HYPERLINK("https://uva.onlinejudge.org/index.php?option=com_onlinejudge&amp;Itemid=8&amp;page=show_problem&amp;problem=3720","UVA 12299")</f>
        <v>UVA 12299</v>
      </c>
      <c r="C31" s="50"/>
      <c r="D31" s="287"/>
      <c r="E31" s="287"/>
      <c r="F31" s="50"/>
      <c r="G31" s="50"/>
      <c r="H31" s="50"/>
      <c r="I31" s="127">
        <f t="shared" si="1"/>
        <v>0</v>
      </c>
      <c r="J31" s="86"/>
      <c r="K31" s="80"/>
      <c r="M31" s="238" t="str">
        <f>HYPERLINK("https://github.com/Emsawy/CompetitiveProgramming/blob/master/UVA/12299.cpp","See sscanf and sprintf usage")</f>
        <v>See sscanf and sprintf usage</v>
      </c>
    </row>
    <row r="32" ht="16.5" customHeight="1">
      <c r="A32" s="302" t="s">
        <v>893</v>
      </c>
      <c r="B32" s="296" t="str">
        <f>HYPERLINK("http://codeforces.com/problemset/problem/514/D","CF514-D2-D")</f>
        <v>CF514-D2-D</v>
      </c>
      <c r="C32" s="50"/>
      <c r="D32" s="287"/>
      <c r="E32" s="287"/>
      <c r="F32" s="50"/>
      <c r="G32" s="50"/>
      <c r="H32" s="50"/>
      <c r="I32" s="127">
        <f t="shared" si="1"/>
        <v>0</v>
      </c>
      <c r="L32" s="47"/>
      <c r="M32" s="192" t="s">
        <v>894</v>
      </c>
    </row>
    <row r="33">
      <c r="A33" s="302" t="s">
        <v>895</v>
      </c>
      <c r="B33" s="303" t="str">
        <f>HYPERLINK("https://uva.onlinejudge.org/index.php?option=com_onlinejudge&amp;Itemid=8&amp;page=show_problem&amp;problem=2397","UVA 11402")</f>
        <v>UVA 11402</v>
      </c>
      <c r="C33" s="50"/>
      <c r="D33" s="287"/>
      <c r="E33" s="287"/>
      <c r="F33" s="50"/>
      <c r="G33" s="50"/>
      <c r="H33" s="50"/>
      <c r="I33" s="127">
        <f t="shared" si="1"/>
        <v>0</v>
      </c>
      <c r="J33" s="117"/>
      <c r="K33" s="117"/>
      <c r="L33" s="47"/>
      <c r="M33" s="238" t="str">
        <f>HYPERLINK("https://github.com/hosamk92/CompetitiveProgramming/blob/master/UVA/UVA%2011402.cpp","Sol")</f>
        <v>Sol</v>
      </c>
    </row>
    <row r="34">
      <c r="A34" s="304" t="s">
        <v>896</v>
      </c>
      <c r="B34" s="305" t="str">
        <f>HYPERLINK("http://www.spoj.com/problems/BRCKTS","SPOJ BRCKTS")</f>
        <v>SPOJ BRCKTS</v>
      </c>
      <c r="C34" s="50"/>
      <c r="D34" s="287"/>
      <c r="E34" s="287"/>
      <c r="F34" s="50"/>
      <c r="G34" s="50"/>
      <c r="H34" s="50"/>
      <c r="I34" s="127">
        <f t="shared" si="1"/>
        <v>0</v>
      </c>
      <c r="J34" s="117"/>
      <c r="K34" s="117"/>
      <c r="L34" s="47"/>
      <c r="M34" s="238" t="str">
        <f>HYPERLINK("https://github.com/AliOsm/CompetitiveProgramming/blob/master/SPOJ/BRCKTS%20-%20Brackets.cpp","Sol")</f>
        <v>Sol</v>
      </c>
    </row>
    <row r="35">
      <c r="A35" s="302" t="s">
        <v>897</v>
      </c>
      <c r="B35" s="303" t="str">
        <f>HYPERLINK("http://codeforces.com/contest/460/problem/C","CF460-D2-C")</f>
        <v>CF460-D2-C</v>
      </c>
      <c r="C35" s="50"/>
      <c r="D35" s="287"/>
      <c r="E35" s="287"/>
      <c r="F35" s="50"/>
      <c r="G35" s="50"/>
      <c r="H35" s="50"/>
      <c r="I35" s="127">
        <f t="shared" si="1"/>
        <v>0</v>
      </c>
      <c r="J35" s="117"/>
      <c r="K35" s="117"/>
      <c r="L35" s="47"/>
      <c r="M35" s="87"/>
    </row>
    <row r="36">
      <c r="A36" s="306" t="str">
        <f>HYPERLINK("https://community.topcoder.com/stat?c=problem_statement&amp;pm=1331&amp;rd=4550","MessageMess")</f>
        <v>MessageMess</v>
      </c>
      <c r="B36" s="307" t="s">
        <v>622</v>
      </c>
      <c r="C36" s="50"/>
      <c r="D36" s="287"/>
      <c r="E36" s="287"/>
      <c r="F36" s="50"/>
      <c r="G36" s="50"/>
      <c r="H36" s="50"/>
      <c r="I36" s="127">
        <f t="shared" si="1"/>
        <v>0</v>
      </c>
      <c r="J36" s="117"/>
      <c r="K36" s="117"/>
      <c r="L36" s="47"/>
      <c r="M36" s="87"/>
    </row>
    <row r="37">
      <c r="A37" s="289" t="str">
        <f>HYPERLINK("https://community.topcoder.com/stat?c=problem_statement&amp;pm=7601&amp;rd=10673","DiceGames")</f>
        <v>DiceGames</v>
      </c>
      <c r="B37" s="308" t="s">
        <v>788</v>
      </c>
      <c r="C37" s="50"/>
      <c r="D37" s="287"/>
      <c r="E37" s="287"/>
      <c r="F37" s="50"/>
      <c r="G37" s="50"/>
      <c r="H37" s="50"/>
      <c r="I37" s="127">
        <f t="shared" si="1"/>
        <v>0</v>
      </c>
      <c r="J37" s="117"/>
      <c r="K37" s="117"/>
      <c r="L37" s="47"/>
      <c r="M37" s="87"/>
    </row>
    <row r="38">
      <c r="A38" s="285" t="s">
        <v>898</v>
      </c>
      <c r="B38" s="309" t="str">
        <f>HYPERLINK("https://uva.onlinejudge.org/index.php?option=com_onlinejudge&amp;Itemid=8&amp;page=show_problem&amp;problem=407","UVA 466")</f>
        <v>UVA 466</v>
      </c>
      <c r="C38" s="50"/>
      <c r="D38" s="287"/>
      <c r="E38" s="287"/>
      <c r="F38" s="50"/>
      <c r="G38" s="50"/>
      <c r="H38" s="50"/>
      <c r="I38" s="127">
        <f t="shared" si="1"/>
        <v>0</v>
      </c>
      <c r="J38" s="117"/>
      <c r="K38" s="117"/>
      <c r="L38" s="47"/>
      <c r="M38" s="87"/>
    </row>
    <row r="39">
      <c r="A39" s="310" t="s">
        <v>899</v>
      </c>
      <c r="B39" s="311" t="str">
        <f>HYPERLINK("http://www.spoj.com/problems/KGSS/","SPOJ KGSS")</f>
        <v>SPOJ KGSS</v>
      </c>
      <c r="C39" s="50"/>
      <c r="D39" s="287"/>
      <c r="E39" s="287"/>
      <c r="F39" s="50"/>
      <c r="G39" s="50"/>
      <c r="H39" s="50"/>
      <c r="I39" s="127">
        <f t="shared" si="1"/>
        <v>0</v>
      </c>
      <c r="J39" s="86"/>
      <c r="K39" s="80"/>
      <c r="L39" s="50"/>
      <c r="M39" s="110"/>
    </row>
    <row r="40">
      <c r="A40" s="310"/>
      <c r="B40" s="310" t="s">
        <v>900</v>
      </c>
      <c r="C40" s="50"/>
      <c r="D40" s="287"/>
      <c r="E40" s="287"/>
      <c r="F40" s="50"/>
      <c r="G40" s="50"/>
      <c r="H40" s="50"/>
      <c r="I40" s="127">
        <f t="shared" si="1"/>
        <v>0</v>
      </c>
      <c r="J40" s="86"/>
      <c r="K40" s="80"/>
      <c r="L40" s="50"/>
      <c r="M40" s="110"/>
    </row>
    <row r="41">
      <c r="A41" s="310"/>
      <c r="B41" s="310" t="s">
        <v>901</v>
      </c>
      <c r="C41" s="50"/>
      <c r="D41" s="287"/>
      <c r="E41" s="287"/>
      <c r="F41" s="50"/>
      <c r="G41" s="50"/>
      <c r="H41" s="50"/>
      <c r="I41" s="127">
        <f t="shared" si="1"/>
        <v>0</v>
      </c>
      <c r="J41" s="86"/>
      <c r="K41" s="80"/>
      <c r="L41" s="50"/>
      <c r="M41" s="110"/>
    </row>
    <row r="42">
      <c r="A42" s="310"/>
      <c r="B42" s="311" t="str">
        <f>HYPERLINK("http://codeforces.com/contest/201/problem/B","CF201-D1-B")</f>
        <v>CF201-D1-B</v>
      </c>
      <c r="C42" s="50"/>
      <c r="D42" s="287"/>
      <c r="E42" s="287"/>
      <c r="F42" s="50"/>
      <c r="G42" s="50"/>
      <c r="H42" s="50"/>
      <c r="I42" s="127">
        <f t="shared" si="1"/>
        <v>0</v>
      </c>
      <c r="J42" s="86"/>
      <c r="K42" s="80"/>
      <c r="L42" s="50"/>
      <c r="M42" s="110"/>
    </row>
    <row r="43">
      <c r="A43" s="310"/>
      <c r="B43" s="311" t="str">
        <f>HYPERLINK("http://codeforces.com/contest/380/problem/C","CF380-D1-C")</f>
        <v>CF380-D1-C</v>
      </c>
      <c r="C43" s="50"/>
      <c r="D43" s="287"/>
      <c r="E43" s="287"/>
      <c r="F43" s="50"/>
      <c r="G43" s="50"/>
      <c r="H43" s="50"/>
      <c r="I43" s="127">
        <f t="shared" si="1"/>
        <v>0</v>
      </c>
      <c r="J43" s="86"/>
      <c r="K43" s="80"/>
      <c r="L43" s="50"/>
      <c r="M43" s="110"/>
    </row>
    <row r="44">
      <c r="A44" s="310"/>
      <c r="B44" s="311" t="str">
        <f>HYPERLINK("http://codeforces.com/contest/161/problem/D","CF161-D12-D")</f>
        <v>CF161-D12-D</v>
      </c>
      <c r="C44" s="50"/>
      <c r="D44" s="287"/>
      <c r="E44" s="287"/>
      <c r="F44" s="50"/>
      <c r="G44" s="50"/>
      <c r="H44" s="50"/>
      <c r="I44" s="127">
        <f t="shared" si="1"/>
        <v>0</v>
      </c>
      <c r="J44" s="86"/>
      <c r="K44" s="80"/>
      <c r="L44" s="50"/>
      <c r="M44" s="312" t="str">
        <f>HYPERLINK("https://codeforces.com/blog/entry/20935","Reading: DP on Trees")</f>
        <v>Reading: DP on Trees</v>
      </c>
    </row>
    <row r="45">
      <c r="A45" s="310"/>
      <c r="B45" s="311" t="str">
        <f>HYPERLINK("https://codeforces.com/problemset/problem/61/E","CF61-D2-E")</f>
        <v>CF61-D2-E</v>
      </c>
      <c r="C45" s="50"/>
      <c r="D45" s="50"/>
      <c r="E45" s="50"/>
      <c r="F45" s="50"/>
      <c r="G45" s="50"/>
      <c r="H45" s="50"/>
      <c r="I45" s="186">
        <f t="shared" si="1"/>
        <v>0</v>
      </c>
      <c r="J45" s="86"/>
      <c r="K45" s="80"/>
      <c r="L45" s="50"/>
      <c r="M45" s="313"/>
    </row>
    <row r="46">
      <c r="A46" s="310"/>
      <c r="B46" s="310" t="s">
        <v>902</v>
      </c>
      <c r="C46" s="50"/>
      <c r="D46" s="50"/>
      <c r="E46" s="50"/>
      <c r="F46" s="50"/>
      <c r="G46" s="50"/>
      <c r="H46" s="50"/>
      <c r="I46" s="186">
        <f t="shared" si="1"/>
        <v>0</v>
      </c>
      <c r="J46" s="86"/>
      <c r="K46" s="80"/>
      <c r="L46" s="50"/>
      <c r="M46" s="110"/>
    </row>
    <row r="47">
      <c r="A47" s="192"/>
      <c r="B47" s="108"/>
      <c r="C47" s="50"/>
      <c r="D47" s="287"/>
      <c r="E47" s="287"/>
      <c r="F47" s="50"/>
      <c r="G47" s="50"/>
      <c r="H47" s="50"/>
      <c r="I47" s="127">
        <f t="shared" si="1"/>
        <v>0</v>
      </c>
      <c r="J47" s="86"/>
      <c r="K47" s="80"/>
      <c r="L47" s="50"/>
      <c r="M47" s="110"/>
    </row>
    <row r="48">
      <c r="A48" s="192" t="s">
        <v>903</v>
      </c>
      <c r="B48" s="108" t="str">
        <f>HYPERLINK("http://codeforces.com/contest/151/problem/D","CF151-D2-D")</f>
        <v>CF151-D2-D</v>
      </c>
      <c r="C48" s="50"/>
      <c r="D48" s="287"/>
      <c r="E48" s="287"/>
      <c r="F48" s="50"/>
      <c r="G48" s="50"/>
      <c r="H48" s="50"/>
      <c r="I48" s="127">
        <f t="shared" si="1"/>
        <v>0</v>
      </c>
      <c r="J48" s="86"/>
      <c r="K48" s="80"/>
      <c r="L48" s="50"/>
      <c r="M48" s="110"/>
    </row>
    <row r="49">
      <c r="A49" s="192" t="s">
        <v>904</v>
      </c>
      <c r="B49" s="108" t="str">
        <f>HYPERLINK("http://codeforces.com/contest/61/problem/D","CF61-D2-D")</f>
        <v>CF61-D2-D</v>
      </c>
      <c r="C49" s="50"/>
      <c r="D49" s="287"/>
      <c r="E49" s="287"/>
      <c r="F49" s="50"/>
      <c r="G49" s="50"/>
      <c r="H49" s="50"/>
      <c r="I49" s="127">
        <f t="shared" si="1"/>
        <v>0</v>
      </c>
      <c r="J49" s="86"/>
      <c r="K49" s="80"/>
      <c r="L49" s="50"/>
      <c r="M49" s="110"/>
    </row>
    <row r="50">
      <c r="A50" s="192" t="s">
        <v>905</v>
      </c>
      <c r="B50" s="264" t="str">
        <f>HYPERLINK("http://codeforces.com/contest/808/problem/D","CF808-D2-D")</f>
        <v>CF808-D2-D</v>
      </c>
      <c r="C50" s="50"/>
      <c r="D50" s="287"/>
      <c r="E50" s="287"/>
      <c r="F50" s="50"/>
      <c r="G50" s="50"/>
      <c r="H50" s="50"/>
      <c r="I50" s="127">
        <f t="shared" si="1"/>
        <v>0</v>
      </c>
      <c r="J50" s="86"/>
      <c r="K50" s="80"/>
      <c r="L50" s="50"/>
      <c r="M50" s="106" t="str">
        <f>HYPERLINK("https://www.youtube.com/watch?v=wL0s8xIQYbk","Video Solution - Solver to be (Java)")</f>
        <v>Video Solution - Solver to be (Java)</v>
      </c>
    </row>
    <row r="51">
      <c r="A51" s="192"/>
      <c r="B51" s="264" t="str">
        <f>HYPERLINK("http://codeforces.com/contest/45/problem/D","CF45-D12-D")</f>
        <v>CF45-D12-D</v>
      </c>
      <c r="C51" s="50"/>
      <c r="D51" s="287"/>
      <c r="E51" s="287"/>
      <c r="F51" s="50"/>
      <c r="G51" s="50"/>
      <c r="H51" s="50"/>
      <c r="I51" s="127">
        <f t="shared" si="1"/>
        <v>0</v>
      </c>
      <c r="J51" s="86"/>
      <c r="K51" s="80"/>
      <c r="L51" s="50"/>
      <c r="M51" s="141"/>
    </row>
    <row r="52">
      <c r="A52" s="192"/>
      <c r="B52" s="192" t="s">
        <v>906</v>
      </c>
      <c r="C52" s="50"/>
      <c r="D52" s="287"/>
      <c r="E52" s="287"/>
      <c r="F52" s="50"/>
      <c r="G52" s="50"/>
      <c r="H52" s="50"/>
      <c r="I52" s="127">
        <f t="shared" si="1"/>
        <v>0</v>
      </c>
      <c r="J52" s="86"/>
      <c r="K52" s="80"/>
      <c r="L52" s="50"/>
      <c r="M52" s="141"/>
    </row>
    <row r="53">
      <c r="A53" s="192"/>
      <c r="B53" s="264" t="str">
        <f>HYPERLINK("http://codeforces.com/problemsets/acmsguru/problem/99999/321","SGU 321")</f>
        <v>SGU 321</v>
      </c>
      <c r="C53" s="50"/>
      <c r="D53" s="287"/>
      <c r="E53" s="287"/>
      <c r="F53" s="50"/>
      <c r="G53" s="50"/>
      <c r="H53" s="50"/>
      <c r="I53" s="127">
        <f t="shared" si="1"/>
        <v>0</v>
      </c>
      <c r="J53" s="86"/>
      <c r="K53" s="80"/>
      <c r="L53" s="50"/>
      <c r="M53" s="106" t="str">
        <f>HYPERLINK("https://github.com/mostafa-saad/MyCompetitiveProgramming/blob/master/SGU/SGU_321.txt","Sol")</f>
        <v>Sol</v>
      </c>
    </row>
    <row r="54">
      <c r="A54" s="192"/>
      <c r="B54" s="264" t="str">
        <f>HYPERLINK("https://www.codechef.com/LTIME64B/problems/OPPOSITE" , "CODECHEF OPPOSITE")</f>
        <v>CODECHEF OPPOSITE</v>
      </c>
      <c r="C54" s="50"/>
      <c r="D54" s="287"/>
      <c r="E54" s="287"/>
      <c r="F54" s="50"/>
      <c r="G54" s="50"/>
      <c r="H54" s="50"/>
      <c r="I54" s="127">
        <f t="shared" si="1"/>
        <v>0</v>
      </c>
      <c r="J54" s="86"/>
      <c r="K54" s="80"/>
      <c r="L54" s="50"/>
      <c r="M54" s="141"/>
    </row>
    <row r="55">
      <c r="A55" s="192"/>
      <c r="B55" s="192" t="s">
        <v>907</v>
      </c>
      <c r="C55" s="50"/>
      <c r="D55" s="287"/>
      <c r="E55" s="287"/>
      <c r="F55" s="50"/>
      <c r="G55" s="50"/>
      <c r="H55" s="50"/>
      <c r="I55" s="127">
        <f t="shared" si="1"/>
        <v>0</v>
      </c>
      <c r="J55" s="86"/>
      <c r="K55" s="80"/>
      <c r="L55" s="50"/>
      <c r="M55" s="141"/>
    </row>
    <row r="56">
      <c r="A56" s="192"/>
      <c r="B56" s="192" t="s">
        <v>908</v>
      </c>
      <c r="C56" s="50"/>
      <c r="D56" s="287"/>
      <c r="E56" s="287"/>
      <c r="F56" s="50"/>
      <c r="G56" s="50"/>
      <c r="H56" s="50"/>
      <c r="I56" s="127">
        <f t="shared" si="1"/>
        <v>0</v>
      </c>
      <c r="J56" s="86"/>
      <c r="K56" s="80"/>
      <c r="L56" s="50"/>
      <c r="M56" s="141"/>
    </row>
    <row r="57">
      <c r="A57" s="192"/>
      <c r="B57" s="192" t="s">
        <v>909</v>
      </c>
      <c r="C57" s="50"/>
      <c r="D57" s="287"/>
      <c r="E57" s="287"/>
      <c r="F57" s="50"/>
      <c r="G57" s="50"/>
      <c r="H57" s="50"/>
      <c r="I57" s="127">
        <f t="shared" si="1"/>
        <v>0</v>
      </c>
      <c r="J57" s="86"/>
      <c r="K57" s="80"/>
      <c r="L57" s="50"/>
      <c r="M57" s="141"/>
    </row>
    <row r="58">
      <c r="A58" s="242" t="s">
        <v>910</v>
      </c>
      <c r="B58" s="314" t="str">
        <f>HYPERLINK("http://codeforces.com/contest/216/problem/C","CF216-D2-C")</f>
        <v>CF216-D2-C</v>
      </c>
      <c r="C58" s="50"/>
      <c r="D58" s="287"/>
      <c r="E58" s="287"/>
      <c r="F58" s="50"/>
      <c r="G58" s="50"/>
      <c r="H58" s="50"/>
      <c r="I58" s="127">
        <f t="shared" si="1"/>
        <v>0</v>
      </c>
      <c r="J58" s="86"/>
      <c r="K58" s="80"/>
      <c r="L58" s="50"/>
      <c r="M58" s="141"/>
    </row>
    <row r="59">
      <c r="A59" s="242" t="s">
        <v>911</v>
      </c>
      <c r="B59" s="314" t="str">
        <f>HYPERLINK("http://codeforces.com/contest/535/problem/C","CF535-D2-C")</f>
        <v>CF535-D2-C</v>
      </c>
      <c r="C59" s="50"/>
      <c r="D59" s="287"/>
      <c r="E59" s="287"/>
      <c r="F59" s="50"/>
      <c r="G59" s="50"/>
      <c r="H59" s="50"/>
      <c r="I59" s="127">
        <f t="shared" si="1"/>
        <v>0</v>
      </c>
      <c r="J59" s="86"/>
      <c r="K59" s="80"/>
      <c r="L59" s="50"/>
      <c r="M59" s="141"/>
    </row>
    <row r="60">
      <c r="A60" s="242" t="s">
        <v>912</v>
      </c>
      <c r="B60" s="314" t="str">
        <f>HYPERLINK("http://codeforces.com/contest/189/problem/C","CF189-D2-C")</f>
        <v>CF189-D2-C</v>
      </c>
      <c r="C60" s="50"/>
      <c r="D60" s="287"/>
      <c r="E60" s="287"/>
      <c r="F60" s="50"/>
      <c r="G60" s="50"/>
      <c r="H60" s="50"/>
      <c r="I60" s="127">
        <f t="shared" si="1"/>
        <v>0</v>
      </c>
      <c r="J60" s="86"/>
      <c r="K60" s="80"/>
      <c r="M60" s="212" t="str">
        <f>HYPERLINK("https://github.com/MedoN11/CompetitiveProgramming/blob/master/CodeForces/CF189-D1-C.cpp","Sol")</f>
        <v>Sol</v>
      </c>
    </row>
    <row r="61">
      <c r="A61" s="50"/>
      <c r="B61" s="47"/>
      <c r="C61" s="50"/>
      <c r="D61" s="287"/>
      <c r="E61" s="287"/>
      <c r="F61" s="50"/>
      <c r="G61" s="50"/>
      <c r="H61" s="50"/>
      <c r="I61" s="127">
        <f t="shared" si="1"/>
        <v>0</v>
      </c>
      <c r="J61" s="117"/>
      <c r="K61" s="116"/>
      <c r="L61" s="50"/>
      <c r="M61" s="315" t="str">
        <f>HYPERLINK("https://www.youtube.com/watch?v=n-Xwrr8RFQ0","Watch - Two pointers technique")</f>
        <v>Watch - Two pointers technique</v>
      </c>
    </row>
    <row r="62">
      <c r="A62" s="316" t="s">
        <v>913</v>
      </c>
      <c r="B62" s="317" t="str">
        <f>HYPERLINK("http://codeforces.com/contest/216/problem/D","CF216-D2-D")</f>
        <v>CF216-D2-D</v>
      </c>
      <c r="C62" s="50"/>
      <c r="D62" s="287"/>
      <c r="E62" s="287"/>
      <c r="F62" s="50"/>
      <c r="G62" s="50"/>
      <c r="H62" s="50"/>
      <c r="I62" s="127">
        <f t="shared" si="1"/>
        <v>0</v>
      </c>
      <c r="J62" s="117"/>
      <c r="K62" s="116"/>
      <c r="L62" s="50"/>
      <c r="M62" s="50"/>
    </row>
    <row r="63">
      <c r="A63" s="316" t="s">
        <v>914</v>
      </c>
      <c r="B63" s="318" t="str">
        <f>HYPERLINK("http://codeforces.com/contest/334/problem/D","CF334-D2-D")</f>
        <v>CF334-D2-D</v>
      </c>
      <c r="C63" s="50"/>
      <c r="D63" s="287"/>
      <c r="E63" s="287"/>
      <c r="F63" s="50"/>
      <c r="G63" s="50"/>
      <c r="H63" s="50"/>
      <c r="I63" s="127">
        <f t="shared" si="1"/>
        <v>0</v>
      </c>
      <c r="J63" s="117"/>
      <c r="K63" s="116"/>
      <c r="L63" s="50"/>
      <c r="M63" s="50"/>
    </row>
    <row r="64">
      <c r="A64" s="316" t="s">
        <v>915</v>
      </c>
      <c r="B64" s="318" t="str">
        <f>HYPERLINK("http://codeforces.com/contest/676/problem/C","CF676-D2-C")</f>
        <v>CF676-D2-C</v>
      </c>
      <c r="C64" s="50"/>
      <c r="D64" s="287"/>
      <c r="E64" s="287"/>
      <c r="F64" s="50"/>
      <c r="G64" s="50"/>
      <c r="H64" s="50"/>
      <c r="I64" s="127">
        <f t="shared" si="1"/>
        <v>0</v>
      </c>
      <c r="J64" s="117"/>
      <c r="K64" s="116"/>
      <c r="L64" s="50"/>
      <c r="M64" s="50"/>
    </row>
    <row r="65">
      <c r="A65" s="319" t="s">
        <v>916</v>
      </c>
      <c r="B65" s="240" t="str">
        <f>HYPERLINK("https://icpcarchive.ecs.baylor.edu/index.php?option=com_onlinejudge&amp;Itemid=8&amp;category=19&amp;page=show_problem&amp;problem=1635","LiveArchive 3634")</f>
        <v>LiveArchive 3634</v>
      </c>
      <c r="C65" s="50"/>
      <c r="D65" s="287"/>
      <c r="E65" s="287"/>
      <c r="F65" s="50"/>
      <c r="G65" s="50"/>
      <c r="H65" s="50"/>
      <c r="I65" s="127">
        <f t="shared" si="1"/>
        <v>0</v>
      </c>
      <c r="J65" s="117"/>
      <c r="K65" s="116"/>
      <c r="L65" s="50"/>
      <c r="M65" s="212" t="str">
        <f>HYPERLINK("https://github.com/SaraElkadi/competitive-programming-/blob/master/LiveArchive/3634.cpp","Sol")</f>
        <v>Sol</v>
      </c>
    </row>
    <row r="66">
      <c r="A66" s="319" t="s">
        <v>917</v>
      </c>
      <c r="B66" s="240" t="str">
        <f>HYPERLINK("https://uva.onlinejudge.org/index.php?option=com_onlinejudge&amp;Itemid=8&amp;page=show_problem&amp;problem=4467","UVA 1592")</f>
        <v>UVA 1592</v>
      </c>
      <c r="C66" s="50"/>
      <c r="D66" s="287"/>
      <c r="E66" s="287"/>
      <c r="F66" s="50"/>
      <c r="G66" s="50"/>
      <c r="H66" s="50"/>
      <c r="I66" s="127">
        <f t="shared" si="1"/>
        <v>0</v>
      </c>
      <c r="J66" s="117"/>
      <c r="K66" s="116"/>
      <c r="L66" s="50"/>
    </row>
    <row r="67">
      <c r="A67" s="319" t="s">
        <v>918</v>
      </c>
      <c r="B67" s="240" t="str">
        <f>HYPERLINK("http://www.spoj.com/problems/GSS1/","SPOJ GSS1")</f>
        <v>SPOJ GSS1</v>
      </c>
      <c r="C67" s="50"/>
      <c r="D67" s="287"/>
      <c r="E67" s="287"/>
      <c r="F67" s="50"/>
      <c r="G67" s="50"/>
      <c r="H67" s="50"/>
      <c r="I67" s="127">
        <f t="shared" si="1"/>
        <v>0</v>
      </c>
      <c r="J67" s="117"/>
      <c r="K67" s="116"/>
      <c r="L67" s="213"/>
      <c r="M67" s="212" t="str">
        <f>HYPERLINK("https://github.com/AliOsm/CompetitiveProgramming/blob/master/SPOJ/GSS1%20-%20Can%20you%20answer%20these%20queries%20I.cpp","Sol")</f>
        <v>Sol</v>
      </c>
    </row>
    <row r="68">
      <c r="A68" s="319"/>
      <c r="B68" s="258" t="str">
        <f>HYPERLINK("https://www.spoj.com/problems/BILLIARD/","SPOJ BILLIARD")</f>
        <v>SPOJ BILLIARD</v>
      </c>
      <c r="C68" s="50"/>
      <c r="D68" s="287"/>
      <c r="E68" s="287"/>
      <c r="F68" s="50"/>
      <c r="G68" s="50"/>
      <c r="H68" s="50"/>
      <c r="I68" s="127">
        <f t="shared" si="1"/>
        <v>0</v>
      </c>
      <c r="J68" s="117"/>
      <c r="K68" s="116"/>
      <c r="L68" s="213"/>
      <c r="M68" s="212" t="str">
        <f>HYPERLINK("https://github.com/osamahatem/CompetitiveProgramming/blob/master/SPOJ/BILLIARD.cpp","Sol")</f>
        <v>Sol</v>
      </c>
    </row>
    <row r="69">
      <c r="A69" s="319" t="s">
        <v>919</v>
      </c>
      <c r="B69" s="240" t="str">
        <f>HYPERLINK("http://www.spoj.com/problems/GSS3/","SPOJ GSS3")</f>
        <v>SPOJ GSS3</v>
      </c>
      <c r="C69" s="50"/>
      <c r="D69" s="287"/>
      <c r="E69" s="287"/>
      <c r="F69" s="50"/>
      <c r="G69" s="50"/>
      <c r="H69" s="50"/>
      <c r="I69" s="127">
        <f t="shared" si="1"/>
        <v>0</v>
      </c>
      <c r="J69" s="117"/>
      <c r="K69" s="116"/>
      <c r="L69" s="50"/>
    </row>
    <row r="70">
      <c r="A70" s="319"/>
      <c r="B70" s="319" t="s">
        <v>920</v>
      </c>
      <c r="C70" s="50"/>
      <c r="D70" s="287"/>
      <c r="E70" s="287"/>
      <c r="F70" s="50"/>
      <c r="G70" s="50"/>
      <c r="H70" s="50"/>
      <c r="I70" s="127">
        <f t="shared" si="1"/>
        <v>0</v>
      </c>
      <c r="J70" s="117"/>
      <c r="K70" s="116"/>
      <c r="L70" s="50"/>
      <c r="M70" s="212" t="str">
        <f>HYPERLINK("https://github.com/mostafa-saad/MyCompetitiveProgramming/blob/master/SPOJ/SPOJ_ABA12E.txt","Sol")</f>
        <v>Sol</v>
      </c>
    </row>
    <row r="71">
      <c r="A71" s="319"/>
      <c r="B71" s="319" t="s">
        <v>921</v>
      </c>
      <c r="C71" s="50"/>
      <c r="D71" s="287"/>
      <c r="E71" s="287"/>
      <c r="F71" s="50"/>
      <c r="G71" s="50"/>
      <c r="H71" s="50"/>
      <c r="I71" s="127">
        <f t="shared" si="1"/>
        <v>0</v>
      </c>
      <c r="J71" s="117"/>
      <c r="K71" s="116"/>
      <c r="L71" s="50"/>
      <c r="M71" s="212" t="str">
        <f>HYPERLINK("https://github.com/ilyesG/Competitive-Programming/blob/master/UVA/UVA%2011825.cpp","Sol")</f>
        <v>Sol</v>
      </c>
    </row>
    <row r="72">
      <c r="A72" s="319"/>
      <c r="B72" s="320" t="str">
        <f>HYPERLINK("http://codeforces.com/contest/472/problem/D","CF472-D12-D")</f>
        <v>CF472-D12-D</v>
      </c>
      <c r="C72" s="50"/>
      <c r="D72" s="287"/>
      <c r="E72" s="287"/>
      <c r="F72" s="50"/>
      <c r="G72" s="50"/>
      <c r="H72" s="50"/>
      <c r="I72" s="127">
        <f t="shared" si="1"/>
        <v>0</v>
      </c>
      <c r="J72" s="117"/>
      <c r="K72" s="116"/>
      <c r="L72" s="50"/>
    </row>
    <row r="73">
      <c r="A73" s="319"/>
      <c r="B73" s="319" t="s">
        <v>922</v>
      </c>
      <c r="C73" s="50"/>
      <c r="D73" s="287"/>
      <c r="E73" s="287"/>
      <c r="F73" s="50"/>
      <c r="G73" s="50"/>
      <c r="H73" s="50"/>
      <c r="I73" s="127">
        <f t="shared" si="1"/>
        <v>0</v>
      </c>
      <c r="J73" s="117"/>
      <c r="K73" s="116"/>
      <c r="L73" s="50"/>
      <c r="M73" s="212" t="str">
        <f>HYPERLINK("https://github.com/yazanKabbany/CompetitiveProgramming/blob/master/UVA/UVA%2012325.cpp","Prove your Solution")</f>
        <v>Prove your Solution</v>
      </c>
    </row>
    <row r="74">
      <c r="A74" s="319"/>
      <c r="B74" s="319" t="s">
        <v>923</v>
      </c>
      <c r="C74" s="50"/>
      <c r="D74" s="287"/>
      <c r="E74" s="287"/>
      <c r="F74" s="50"/>
      <c r="G74" s="50"/>
      <c r="H74" s="50"/>
      <c r="I74" s="127">
        <f t="shared" si="1"/>
        <v>0</v>
      </c>
      <c r="J74" s="117"/>
      <c r="K74" s="116"/>
      <c r="L74" s="50"/>
      <c r="M74" s="212" t="str">
        <f>HYPERLINK("https://github.com/ilyesG/Competitive-Programming/blob/master/UVA/UVA%2012047.cpp","Sol")</f>
        <v>Sol</v>
      </c>
    </row>
    <row r="75">
      <c r="A75" s="319"/>
      <c r="B75" s="319" t="s">
        <v>924</v>
      </c>
      <c r="C75" s="50"/>
      <c r="D75" s="287"/>
      <c r="E75" s="287"/>
      <c r="F75" s="50"/>
      <c r="G75" s="50"/>
      <c r="H75" s="50"/>
      <c r="I75" s="127">
        <f t="shared" si="1"/>
        <v>0</v>
      </c>
      <c r="J75" s="117"/>
      <c r="K75" s="116"/>
      <c r="L75" s="50"/>
      <c r="M75" s="212" t="str">
        <f>HYPERLINK("https://github.com/ilyesG/Competitive-Programming/blob/master/UVA/UVA%2010705.cpp","Sol")</f>
        <v>Sol</v>
      </c>
    </row>
    <row r="76">
      <c r="A76" s="319"/>
      <c r="B76" s="320" t="str">
        <f>HYPERLINK("https://uva.onlinejudge.org/index.php?option=onlinejudge&amp;page=show_problem&amp;problem=4330","UVA 1555")</f>
        <v>UVA 1555</v>
      </c>
      <c r="C76" s="50"/>
      <c r="D76" s="287"/>
      <c r="E76" s="287"/>
      <c r="F76" s="50"/>
      <c r="G76" s="50"/>
      <c r="H76" s="50"/>
      <c r="I76" s="127">
        <f t="shared" si="1"/>
        <v>0</v>
      </c>
      <c r="J76" s="117"/>
      <c r="K76" s="116"/>
      <c r="L76" s="50"/>
      <c r="M76" s="321" t="str">
        <f>HYPERLINK("https://github.com/mostafa-saad/MyCompetitiveProgramming/blob/master/UVA/UVA_1555.txt","Sol")</f>
        <v>Sol</v>
      </c>
    </row>
    <row r="77">
      <c r="A77" s="319"/>
      <c r="B77" s="320" t="str">
        <f>HYPERLINK("http://codeforces.com/contest/80/problem/D","CF80-D2-D")</f>
        <v>CF80-D2-D</v>
      </c>
      <c r="C77" s="50"/>
      <c r="D77" s="287"/>
      <c r="E77" s="287"/>
      <c r="F77" s="50"/>
      <c r="G77" s="50"/>
      <c r="H77" s="50"/>
      <c r="I77" s="127">
        <f t="shared" si="1"/>
        <v>0</v>
      </c>
      <c r="J77" s="117"/>
      <c r="K77" s="116"/>
      <c r="L77" s="50"/>
    </row>
    <row r="78">
      <c r="A78" s="107"/>
      <c r="B78" s="108"/>
      <c r="C78" s="50"/>
      <c r="D78" s="287"/>
      <c r="E78" s="287"/>
      <c r="F78" s="50"/>
      <c r="G78" s="50"/>
      <c r="H78" s="50"/>
      <c r="I78" s="127">
        <f t="shared" si="1"/>
        <v>0</v>
      </c>
      <c r="J78" s="86"/>
      <c r="K78" s="80"/>
      <c r="L78" s="50"/>
      <c r="M78" s="141"/>
    </row>
    <row r="79">
      <c r="A79" s="129" t="s">
        <v>925</v>
      </c>
      <c r="B79" s="322" t="str">
        <f>HYPERLINK("http://codeforces.com/contest/766/problem/D","CF766-D2-D")</f>
        <v>CF766-D2-D</v>
      </c>
      <c r="C79" s="50"/>
      <c r="D79" s="287"/>
      <c r="E79" s="287"/>
      <c r="F79" s="50"/>
      <c r="G79" s="50"/>
      <c r="H79" s="50"/>
      <c r="I79" s="127">
        <f t="shared" si="1"/>
        <v>0</v>
      </c>
      <c r="J79" s="86"/>
      <c r="K79" s="80"/>
      <c r="L79" s="50"/>
      <c r="M79" s="106" t="str">
        <f>HYPERLINK("https://www.youtube.com/watch?v=W0O3QNh0-DU","Video Solution - Solver to be (Java)")</f>
        <v>Video Solution - Solver to be (Java)</v>
      </c>
    </row>
    <row r="80">
      <c r="A80" s="129" t="s">
        <v>926</v>
      </c>
      <c r="B80" s="322" t="str">
        <f>HYPERLINK("http://codeforces.com/contest/814/problem/D","CF814-D2-D")</f>
        <v>CF814-D2-D</v>
      </c>
      <c r="C80" s="50"/>
      <c r="D80" s="287"/>
      <c r="E80" s="287"/>
      <c r="F80" s="50"/>
      <c r="G80" s="50"/>
      <c r="H80" s="50"/>
      <c r="I80" s="127">
        <f t="shared" si="1"/>
        <v>0</v>
      </c>
      <c r="J80" s="86"/>
      <c r="K80" s="80"/>
      <c r="L80" s="50"/>
      <c r="M80" s="106" t="str">
        <f>HYPERLINK("https://www.youtube.com/watch?v=UWtHck3a4SA","Video Solution - Solver to be (Java)")</f>
        <v>Video Solution - Solver to be (Java)</v>
      </c>
    </row>
    <row r="81">
      <c r="A81" s="110" t="s">
        <v>927</v>
      </c>
      <c r="B81" s="323" t="str">
        <f>HYPERLINK("http://codeforces.com/contest/617/problem/D","CF617-D2-D")</f>
        <v>CF617-D2-D</v>
      </c>
      <c r="C81" s="50"/>
      <c r="D81" s="287"/>
      <c r="E81" s="287"/>
      <c r="F81" s="50"/>
      <c r="G81" s="50"/>
      <c r="H81" s="50"/>
      <c r="I81" s="127">
        <f t="shared" si="1"/>
        <v>0</v>
      </c>
      <c r="J81" s="117"/>
      <c r="K81" s="116"/>
      <c r="L81" s="50"/>
      <c r="M81" s="50"/>
    </row>
    <row r="82">
      <c r="A82" s="110" t="s">
        <v>649</v>
      </c>
      <c r="B82" s="323" t="str">
        <f>HYPERLINK("http://codeforces.com/contest/92/problem/D","CF92-D2-D")</f>
        <v>CF92-D2-D</v>
      </c>
      <c r="C82" s="50"/>
      <c r="D82" s="287"/>
      <c r="E82" s="287"/>
      <c r="F82" s="50"/>
      <c r="G82" s="50"/>
      <c r="H82" s="50"/>
      <c r="I82" s="127">
        <f t="shared" si="1"/>
        <v>0</v>
      </c>
      <c r="J82" s="117"/>
      <c r="K82" s="116"/>
      <c r="L82" s="50"/>
      <c r="M82" s="50"/>
    </row>
    <row r="83">
      <c r="A83" s="110"/>
      <c r="B83" s="323" t="str">
        <f>HYPERLINK("http://codeforces.com/contest/1038/problem/D","CF1038-D2-D")</f>
        <v>CF1038-D2-D</v>
      </c>
      <c r="C83" s="50"/>
      <c r="D83" s="287"/>
      <c r="E83" s="287"/>
      <c r="F83" s="50"/>
      <c r="G83" s="50"/>
      <c r="H83" s="50"/>
      <c r="I83" s="127">
        <f t="shared" si="1"/>
        <v>0</v>
      </c>
      <c r="J83" s="117"/>
      <c r="K83" s="116"/>
      <c r="L83" s="50"/>
      <c r="M83" s="50"/>
    </row>
    <row r="84">
      <c r="A84" s="110"/>
      <c r="B84" s="323" t="str">
        <f>HYPERLINK("http://codeforces.com/contest/552/problem/D","CF552-D2-D")</f>
        <v>CF552-D2-D</v>
      </c>
      <c r="C84" s="50"/>
      <c r="D84" s="287"/>
      <c r="E84" s="287"/>
      <c r="F84" s="50"/>
      <c r="G84" s="50"/>
      <c r="H84" s="50"/>
      <c r="I84" s="127">
        <f t="shared" si="1"/>
        <v>0</v>
      </c>
      <c r="J84" s="117"/>
      <c r="K84" s="116"/>
      <c r="L84" s="50"/>
      <c r="M84" s="50"/>
    </row>
    <row r="85">
      <c r="A85" s="110"/>
      <c r="B85" s="323" t="str">
        <f>HYPERLINK("https://codeforces.com/gym/101917/problem/E", "CF101917-D12-E")</f>
        <v>CF101917-D12-E</v>
      </c>
      <c r="C85" s="50"/>
      <c r="D85" s="287"/>
      <c r="E85" s="287"/>
      <c r="F85" s="50"/>
      <c r="G85" s="50"/>
      <c r="H85" s="50"/>
      <c r="I85" s="127">
        <f t="shared" si="1"/>
        <v>0</v>
      </c>
      <c r="J85" s="117"/>
      <c r="K85" s="116"/>
      <c r="L85" s="50"/>
      <c r="M85" s="50"/>
    </row>
    <row r="86">
      <c r="A86" s="110"/>
      <c r="B86" s="323" t="str">
        <f>HYPERLINK("http://codeforces.com/contest/1058/problem/D","CF1058-D2-D")</f>
        <v>CF1058-D2-D</v>
      </c>
      <c r="C86" s="50"/>
      <c r="D86" s="287"/>
      <c r="E86" s="287"/>
      <c r="F86" s="50"/>
      <c r="G86" s="50"/>
      <c r="H86" s="50"/>
      <c r="I86" s="127">
        <f t="shared" si="1"/>
        <v>0</v>
      </c>
      <c r="J86" s="117"/>
      <c r="K86" s="116"/>
      <c r="L86" s="50"/>
      <c r="M86" s="50"/>
    </row>
    <row r="87">
      <c r="A87" s="110"/>
      <c r="B87" s="323" t="str">
        <f>HYPERLINK("http://codeforces.com/contest/1043/problem/D" , "CF1042-D12-D")</f>
        <v>CF1042-D12-D</v>
      </c>
      <c r="C87" s="50"/>
      <c r="D87" s="287"/>
      <c r="E87" s="287"/>
      <c r="F87" s="50"/>
      <c r="G87" s="50"/>
      <c r="H87" s="50"/>
      <c r="I87" s="127">
        <f t="shared" si="1"/>
        <v>0</v>
      </c>
      <c r="J87" s="117"/>
      <c r="K87" s="116"/>
      <c r="L87" s="50"/>
      <c r="M87" s="50"/>
    </row>
    <row r="88">
      <c r="A88" s="239"/>
      <c r="B88" s="239" t="s">
        <v>928</v>
      </c>
      <c r="C88" s="50"/>
      <c r="D88" s="287"/>
      <c r="E88" s="287"/>
      <c r="F88" s="50"/>
      <c r="G88" s="50"/>
      <c r="H88" s="50"/>
      <c r="I88" s="127">
        <f t="shared" si="1"/>
        <v>0</v>
      </c>
      <c r="J88" s="117"/>
      <c r="K88" s="116"/>
      <c r="L88" s="50"/>
      <c r="M88" s="214" t="str">
        <f>HYPERLINK("https://github.com/MNT95/Competitive-Programming/blob/master/SPOJ/BIA.cpp?fbclid=IwAR1xR9CTVVj2L_Hr-1m5uIqAFHRc8Bh78z11v46sPyVjHwHeE3MvPrcMbn8","Sol")</f>
        <v>Sol</v>
      </c>
    </row>
    <row r="89">
      <c r="A89" s="242" t="s">
        <v>929</v>
      </c>
      <c r="B89" s="288" t="str">
        <f>HYPERLINK("http://codeforces.com/contest/186/problem/C","CF186-D2-C")</f>
        <v>CF186-D2-C</v>
      </c>
      <c r="C89" s="50"/>
      <c r="D89" s="287"/>
      <c r="E89" s="287"/>
      <c r="F89" s="50"/>
      <c r="G89" s="50"/>
      <c r="H89" s="50"/>
      <c r="I89" s="127">
        <f t="shared" si="1"/>
        <v>0</v>
      </c>
      <c r="J89" s="117"/>
      <c r="K89" s="116"/>
      <c r="L89" s="50"/>
      <c r="M89" s="50"/>
    </row>
    <row r="90">
      <c r="A90" s="242" t="s">
        <v>930</v>
      </c>
      <c r="B90" s="288" t="str">
        <f>HYPERLINK("http://codeforces.com/contest/667/problem/C","CF667-D2-C")</f>
        <v>CF667-D2-C</v>
      </c>
      <c r="C90" s="50"/>
      <c r="D90" s="287"/>
      <c r="E90" s="287"/>
      <c r="F90" s="50"/>
      <c r="G90" s="50"/>
      <c r="H90" s="50"/>
      <c r="I90" s="127">
        <f t="shared" si="1"/>
        <v>0</v>
      </c>
      <c r="J90" s="117"/>
      <c r="K90" s="116"/>
      <c r="L90" s="50"/>
      <c r="M90" s="50"/>
    </row>
    <row r="91">
      <c r="A91" s="242" t="s">
        <v>931</v>
      </c>
      <c r="B91" s="288" t="str">
        <f>HYPERLINK("http://codeforces.com/contest/287/problem/C","CF287-D2-C")</f>
        <v>CF287-D2-C</v>
      </c>
      <c r="C91" s="50"/>
      <c r="D91" s="287"/>
      <c r="E91" s="287"/>
      <c r="F91" s="50"/>
      <c r="G91" s="50"/>
      <c r="H91" s="50"/>
      <c r="I91" s="127">
        <f t="shared" si="1"/>
        <v>0</v>
      </c>
      <c r="J91" s="117"/>
      <c r="K91" s="116"/>
      <c r="L91" s="50"/>
      <c r="M91" s="50"/>
    </row>
    <row r="92">
      <c r="A92" s="47"/>
      <c r="B92" s="47"/>
      <c r="C92" s="50"/>
      <c r="D92" s="287"/>
      <c r="E92" s="287"/>
      <c r="F92" s="50"/>
      <c r="G92" s="50"/>
      <c r="H92" s="50"/>
      <c r="I92" s="127">
        <f t="shared" si="1"/>
        <v>0</v>
      </c>
      <c r="J92" s="117"/>
      <c r="K92" s="116"/>
      <c r="L92" s="50"/>
      <c r="M92" s="324" t="str">
        <f>HYPERLINK("https://www.youtube.com/watch?v=nv6Z6n02Oi0","DP - Probability")</f>
        <v>DP - Probability</v>
      </c>
    </row>
    <row r="93">
      <c r="A93" s="325" t="s">
        <v>932</v>
      </c>
      <c r="B93" s="326" t="str">
        <f>HYPERLINK("https://uva.onlinejudge.org/index.php?option=com_onlinejudge&amp;Itemid=8&amp;page=show_problem&amp;problem=1700","UVA 10759")</f>
        <v>UVA 10759</v>
      </c>
      <c r="C93" s="50"/>
      <c r="D93" s="287"/>
      <c r="E93" s="287"/>
      <c r="F93" s="50"/>
      <c r="G93" s="50"/>
      <c r="H93" s="50"/>
      <c r="I93" s="127">
        <f t="shared" si="1"/>
        <v>0</v>
      </c>
      <c r="J93" s="117"/>
      <c r="K93" s="116"/>
      <c r="L93" s="50"/>
      <c r="M93" s="212" t="str">
        <f>HYPERLINK("https://github.com/VAMPIER000001/CompetitiveProgramming/blob/master/UVA/V-107/UVa%2010759.cpp","Sol")</f>
        <v>Sol</v>
      </c>
    </row>
    <row r="94">
      <c r="A94" s="318" t="str">
        <f>HYPERLINK("https://community.topcoder.com/stat?c=problem_statement&amp;pm=7422&amp;rd=10663","TestBettingStrategy")</f>
        <v>TestBettingStrategy</v>
      </c>
      <c r="B94" s="325" t="s">
        <v>933</v>
      </c>
      <c r="C94" s="50"/>
      <c r="D94" s="287"/>
      <c r="E94" s="287"/>
      <c r="F94" s="50"/>
      <c r="G94" s="50"/>
      <c r="H94" s="50"/>
      <c r="I94" s="127">
        <f t="shared" si="1"/>
        <v>0</v>
      </c>
      <c r="J94" s="47"/>
      <c r="K94" s="50"/>
      <c r="L94" s="50"/>
    </row>
    <row r="95">
      <c r="A95" s="325" t="s">
        <v>934</v>
      </c>
      <c r="B95" s="317" t="str">
        <f>HYPERLINK("http://poj.org/problem?id=2096","PKU 2096")</f>
        <v>PKU 2096</v>
      </c>
      <c r="C95" s="50"/>
      <c r="D95" s="287"/>
      <c r="E95" s="287"/>
      <c r="F95" s="50"/>
      <c r="G95" s="50"/>
      <c r="H95" s="50"/>
      <c r="I95" s="127">
        <f t="shared" si="1"/>
        <v>0</v>
      </c>
      <c r="J95" s="117"/>
      <c r="K95" s="116"/>
      <c r="M95" s="212" t="str">
        <f>HYPERLINK("https://github.com/MichaelMounir12/CompetitiveProgramming/blob/478ef4641bab747e4fd63fffdff7d55287242921/PKU/PKU_2096.cpp","Sol")</f>
        <v>Sol</v>
      </c>
    </row>
    <row r="96">
      <c r="A96" s="325" t="s">
        <v>935</v>
      </c>
      <c r="B96" s="317" t="str">
        <f>HYPERLINK("https://uva.onlinejudge.org/index.php?option=onlinejudge&amp;page=show_problem&amp;problem=483","UVA 542")</f>
        <v>UVA 542</v>
      </c>
      <c r="C96" s="50"/>
      <c r="D96" s="287"/>
      <c r="E96" s="287"/>
      <c r="F96" s="50"/>
      <c r="G96" s="50"/>
      <c r="H96" s="50"/>
      <c r="I96" s="127">
        <f t="shared" si="1"/>
        <v>0</v>
      </c>
      <c r="J96" s="47"/>
      <c r="K96" s="50"/>
      <c r="M96" s="212" t="str">
        <f>HYPERLINK("https://github.com/mostafa-saad/MyCompetitiveProgramming/blob/master/UVA/UVA_542.txt","Sol")</f>
        <v>Sol</v>
      </c>
    </row>
    <row r="97">
      <c r="A97" s="325" t="s">
        <v>936</v>
      </c>
      <c r="B97" s="326" t="str">
        <f>HYPERLINK("https://uva.onlinejudge.org/index.php?option=com_onlinejudge&amp;Itemid=8&amp;page=show_problem&amp;problem=1962","UVA 11021")</f>
        <v>UVA 11021</v>
      </c>
      <c r="C97" s="50"/>
      <c r="D97" s="287"/>
      <c r="E97" s="287"/>
      <c r="F97" s="50"/>
      <c r="G97" s="50"/>
      <c r="H97" s="50"/>
      <c r="I97" s="127">
        <f t="shared" si="1"/>
        <v>0</v>
      </c>
      <c r="J97" s="47"/>
      <c r="K97" s="50"/>
      <c r="L97" s="50"/>
      <c r="M97" s="212" t="str">
        <f>HYPERLINK("https://github.com/VAMPIER000001/CompetitiveProgramming/blob/master/UVA/V-110/UVA%2011021.cpp","Sol")</f>
        <v>Sol</v>
      </c>
    </row>
    <row r="98">
      <c r="A98" s="325" t="s">
        <v>937</v>
      </c>
      <c r="B98" s="326" t="str">
        <f>HYPERLINK("https://uva.onlinejudge.org/index.php?option=com_onlinejudge&amp;Itemid=8&amp;page=show_problem&amp;problem=3888","UVA 12457")</f>
        <v>UVA 12457</v>
      </c>
      <c r="C98" s="50"/>
      <c r="D98" s="287"/>
      <c r="E98" s="287"/>
      <c r="F98" s="50"/>
      <c r="G98" s="50"/>
      <c r="H98" s="50"/>
      <c r="I98" s="127">
        <f t="shared" si="1"/>
        <v>0</v>
      </c>
      <c r="J98" s="47"/>
      <c r="K98" s="50"/>
      <c r="M98" s="212" t="str">
        <f>HYPERLINK("https://github.com/3agwa/CompetitiveProgramming/blob/master/UVA/UVA%2012457","Sol")</f>
        <v>Sol</v>
      </c>
    </row>
    <row r="99">
      <c r="A99" s="239" t="s">
        <v>938</v>
      </c>
      <c r="B99" s="240" t="str">
        <f>HYPERLINK("https://uva.onlinejudge.org/index.php?option=com_onlinejudge&amp;Itemid=8&amp;page=show_problem&amp;problem=774","UVA 833")</f>
        <v>UVA 833</v>
      </c>
      <c r="C99" s="50"/>
      <c r="D99" s="287"/>
      <c r="E99" s="287"/>
      <c r="F99" s="50"/>
      <c r="G99" s="50"/>
      <c r="H99" s="50"/>
      <c r="I99" s="127">
        <f t="shared" si="1"/>
        <v>0</v>
      </c>
      <c r="J99" s="117"/>
      <c r="K99" s="116"/>
    </row>
    <row r="100">
      <c r="A100" s="239" t="s">
        <v>939</v>
      </c>
      <c r="B100" s="240" t="str">
        <f>HYPERLINK("https://uva.onlinejudge.org/index.php?option=com_onlinejudge&amp;Itemid=8&amp;page=show_problem&amp;problem=1647","UVA 10706")</f>
        <v>UVA 10706</v>
      </c>
      <c r="C100" s="50"/>
      <c r="D100" s="287"/>
      <c r="E100" s="287"/>
      <c r="F100" s="50"/>
      <c r="G100" s="50"/>
      <c r="H100" s="50"/>
      <c r="I100" s="127">
        <f t="shared" si="1"/>
        <v>0</v>
      </c>
      <c r="J100" s="117"/>
      <c r="K100" s="116"/>
      <c r="L100" s="50"/>
    </row>
    <row r="101">
      <c r="A101" s="239" t="s">
        <v>940</v>
      </c>
      <c r="B101" s="240" t="str">
        <f>HYPERLINK("https://uva.onlinejudge.org/index.php?option=com_onlinejudge&amp;Itemid=8&amp;page=show_problem&amp;problem=556","UVA 615")</f>
        <v>UVA 615</v>
      </c>
      <c r="C101" s="50"/>
      <c r="D101" s="287"/>
      <c r="E101" s="287"/>
      <c r="F101" s="50"/>
      <c r="G101" s="50"/>
      <c r="H101" s="50"/>
      <c r="I101" s="127">
        <f t="shared" si="1"/>
        <v>0</v>
      </c>
      <c r="J101" s="117"/>
      <c r="K101" s="116"/>
      <c r="L101" s="50"/>
    </row>
    <row r="102">
      <c r="A102" s="327" t="s">
        <v>941</v>
      </c>
      <c r="B102" s="328" t="str">
        <f>HYPERLINK("http://www.spoj.com/problems/HELPR2D2","SPOJ HELPR2D2")</f>
        <v>SPOJ HELPR2D2</v>
      </c>
      <c r="C102" s="50"/>
      <c r="D102" s="287"/>
      <c r="E102" s="287"/>
      <c r="F102" s="50"/>
      <c r="G102" s="50"/>
      <c r="H102" s="50"/>
      <c r="I102" s="127">
        <f t="shared" si="1"/>
        <v>0</v>
      </c>
      <c r="J102" s="47"/>
      <c r="K102" s="50"/>
      <c r="L102" s="50"/>
    </row>
    <row r="103">
      <c r="A103" s="329"/>
      <c r="B103" s="330" t="str">
        <f>HYPERLINK("https://github.com/racsosabe/CompetitiveProgramming/blob/master/CodeForces/CF1016-D2-E.cpp","CF1016-D2-E")</f>
        <v>CF1016-D2-E</v>
      </c>
      <c r="C103" s="50"/>
      <c r="D103" s="287"/>
      <c r="E103" s="287"/>
      <c r="F103" s="50"/>
      <c r="G103" s="50"/>
      <c r="H103" s="50"/>
      <c r="I103" s="127">
        <f t="shared" si="1"/>
        <v>0</v>
      </c>
      <c r="J103" s="86"/>
      <c r="K103" s="80"/>
      <c r="L103" s="50"/>
    </row>
    <row r="104">
      <c r="A104" s="329"/>
      <c r="B104" s="329" t="s">
        <v>942</v>
      </c>
      <c r="C104" s="50"/>
      <c r="D104" s="287"/>
      <c r="E104" s="287"/>
      <c r="F104" s="50"/>
      <c r="G104" s="50"/>
      <c r="H104" s="50"/>
      <c r="I104" s="127">
        <f t="shared" si="1"/>
        <v>0</v>
      </c>
      <c r="J104" s="86"/>
      <c r="K104" s="80"/>
      <c r="L104" s="50"/>
      <c r="M104" s="212" t="str">
        <f>HYPERLINK("https://github.com/thackerhelik/UVA/blob/master/11997.cpp","Sol")</f>
        <v>Sol</v>
      </c>
    </row>
    <row r="105">
      <c r="A105" s="329"/>
      <c r="B105" s="330" t="str">
        <f>HYPERLINK("https://www.facebook.com/hackercup/problem/180494849326631/","FbHkrCup 18-R1-A")</f>
        <v>FbHkrCup 18-R1-A</v>
      </c>
      <c r="C105" s="50"/>
      <c r="D105" s="287"/>
      <c r="E105" s="287"/>
      <c r="F105" s="50"/>
      <c r="G105" s="50"/>
      <c r="H105" s="50"/>
      <c r="I105" s="127">
        <f t="shared" si="1"/>
        <v>0</v>
      </c>
      <c r="J105" s="86"/>
      <c r="K105" s="80"/>
      <c r="L105" s="50"/>
    </row>
    <row r="106">
      <c r="A106" s="329"/>
      <c r="B106" s="329" t="s">
        <v>943</v>
      </c>
      <c r="C106" s="50"/>
      <c r="D106" s="287"/>
      <c r="E106" s="287"/>
      <c r="F106" s="50"/>
      <c r="G106" s="50"/>
      <c r="H106" s="50"/>
      <c r="I106" s="127">
        <f t="shared" si="1"/>
        <v>0</v>
      </c>
      <c r="J106" s="86"/>
      <c r="K106" s="80"/>
      <c r="L106" s="50"/>
    </row>
    <row r="107">
      <c r="A107" s="331"/>
      <c r="B107" s="332"/>
      <c r="C107" s="50"/>
      <c r="D107" s="287"/>
      <c r="E107" s="287"/>
      <c r="F107" s="50"/>
      <c r="G107" s="50"/>
      <c r="H107" s="50"/>
      <c r="I107" s="127">
        <f t="shared" si="1"/>
        <v>0</v>
      </c>
      <c r="J107" s="86"/>
      <c r="K107" s="80"/>
      <c r="L107" s="50"/>
    </row>
    <row r="108">
      <c r="A108" s="192" t="s">
        <v>944</v>
      </c>
      <c r="B108" s="264" t="str">
        <f>HYPERLINK("http://codeforces.com/contest/443/problem/D","CF443-D2-D")</f>
        <v>CF443-D2-D</v>
      </c>
      <c r="C108" s="50"/>
      <c r="D108" s="287"/>
      <c r="E108" s="287"/>
      <c r="F108" s="50"/>
      <c r="G108" s="50"/>
      <c r="H108" s="50"/>
      <c r="I108" s="127">
        <f t="shared" si="1"/>
        <v>0</v>
      </c>
      <c r="J108" s="117"/>
      <c r="K108" s="116"/>
      <c r="M108" s="212" t="str">
        <f>HYPERLINK("http://codeforces.com/contest/443/submission/27060632","Sol")</f>
        <v>Sol</v>
      </c>
    </row>
    <row r="109">
      <c r="A109" s="110" t="s">
        <v>945</v>
      </c>
      <c r="B109" s="323" t="str">
        <f>HYPERLINK("http://codeforces.com/contest/581/problem/D","CF581-D2-D")</f>
        <v>CF581-D2-D</v>
      </c>
      <c r="C109" s="50"/>
      <c r="D109" s="287"/>
      <c r="E109" s="287"/>
      <c r="F109" s="50"/>
      <c r="G109" s="50"/>
      <c r="H109" s="50"/>
      <c r="I109" s="127">
        <f t="shared" si="1"/>
        <v>0</v>
      </c>
      <c r="J109" s="117"/>
      <c r="K109" s="116"/>
      <c r="L109" s="50"/>
      <c r="M109" s="50"/>
    </row>
    <row r="110">
      <c r="A110" s="110" t="s">
        <v>946</v>
      </c>
      <c r="B110" s="213" t="str">
        <f>HYPERLINK("http://codeforces.com/contest/265/problem/D","CF265-D2-D")</f>
        <v>CF265-D2-D</v>
      </c>
      <c r="C110" s="50"/>
      <c r="D110" s="287"/>
      <c r="E110" s="287"/>
      <c r="F110" s="50"/>
      <c r="G110" s="50"/>
      <c r="H110" s="50"/>
      <c r="I110" s="127">
        <f t="shared" si="1"/>
        <v>0</v>
      </c>
      <c r="J110" s="117"/>
      <c r="K110" s="116"/>
      <c r="L110" s="50"/>
      <c r="M110" s="50"/>
    </row>
    <row r="111">
      <c r="A111" s="242" t="s">
        <v>947</v>
      </c>
      <c r="B111" s="288" t="str">
        <f>HYPERLINK("http://codeforces.com/contest/116/problem/C","CF116-D2-C")</f>
        <v>CF116-D2-C</v>
      </c>
      <c r="C111" s="50"/>
      <c r="D111" s="287"/>
      <c r="E111" s="287"/>
      <c r="F111" s="50"/>
      <c r="G111" s="50"/>
      <c r="H111" s="50"/>
      <c r="I111" s="127">
        <f t="shared" si="1"/>
        <v>0</v>
      </c>
      <c r="J111" s="117"/>
      <c r="K111" s="116"/>
      <c r="L111" s="50"/>
      <c r="M111" s="50"/>
    </row>
    <row r="112">
      <c r="A112" s="242" t="s">
        <v>948</v>
      </c>
      <c r="B112" s="288" t="str">
        <f>HYPERLINK("http://codeforces.com/contest/342/problem/C","CF342-D2-C")</f>
        <v>CF342-D2-C</v>
      </c>
      <c r="C112" s="50"/>
      <c r="D112" s="287"/>
      <c r="E112" s="287"/>
      <c r="F112" s="50"/>
      <c r="G112" s="50"/>
      <c r="H112" s="50"/>
      <c r="I112" s="127">
        <f t="shared" si="1"/>
        <v>0</v>
      </c>
      <c r="J112" s="117"/>
      <c r="K112" s="116"/>
      <c r="L112" s="50"/>
      <c r="M112" s="50"/>
    </row>
    <row r="113">
      <c r="A113" s="242" t="s">
        <v>949</v>
      </c>
      <c r="B113" s="288" t="str">
        <f>HYPERLINK("http://codeforces.com/contest/233/problem/C","CF233-D2-C")</f>
        <v>CF233-D2-C</v>
      </c>
      <c r="C113" s="50"/>
      <c r="D113" s="287"/>
      <c r="E113" s="287"/>
      <c r="F113" s="50"/>
      <c r="G113" s="50"/>
      <c r="H113" s="50"/>
      <c r="I113" s="127">
        <f t="shared" si="1"/>
        <v>0</v>
      </c>
      <c r="J113" s="117"/>
      <c r="K113" s="116"/>
      <c r="L113" s="50"/>
      <c r="M113" s="50"/>
    </row>
    <row r="114">
      <c r="A114" s="47"/>
      <c r="B114" s="47"/>
      <c r="C114" s="50"/>
      <c r="D114" s="287"/>
      <c r="E114" s="287"/>
      <c r="F114" s="50"/>
      <c r="G114" s="50"/>
      <c r="H114" s="50"/>
      <c r="I114" s="127">
        <f t="shared" si="1"/>
        <v>0</v>
      </c>
      <c r="J114" s="117"/>
      <c r="K114" s="116"/>
      <c r="L114" s="50"/>
      <c r="M114" s="324" t="str">
        <f>HYPERLINK("https://www.youtube.com/watch?v=8aATaY9sdeE&amp;index=10&amp;list=PLPt2dINI2MIattDutu7IOAMlUuLeN8k2p&amp;t=3s","DP - Masks (2 vid)")</f>
        <v>DP - Masks (2 vid)</v>
      </c>
    </row>
    <row r="115">
      <c r="A115" s="333" t="s">
        <v>950</v>
      </c>
      <c r="B115" s="317" t="str">
        <f>HYPERLINK("https://uva.onlinejudge.org/index.php?option=com_onlinejudge&amp;Itemid=8&amp;page=show_problem&amp;problem=1592","UVA 10651")</f>
        <v>UVA 10651</v>
      </c>
      <c r="C115" s="50"/>
      <c r="D115" s="287"/>
      <c r="E115" s="287"/>
      <c r="F115" s="50"/>
      <c r="G115" s="50"/>
      <c r="H115" s="50"/>
      <c r="I115" s="127">
        <f t="shared" si="1"/>
        <v>0</v>
      </c>
      <c r="J115" s="47"/>
      <c r="K115" s="50"/>
      <c r="L115" s="50"/>
      <c r="M115" s="50"/>
    </row>
    <row r="116">
      <c r="A116" s="334" t="s">
        <v>951</v>
      </c>
      <c r="B116" s="317" t="str">
        <f>HYPERLINK("http://codeforces.com/contest/580/problem/D","CF580-D2-D")</f>
        <v>CF580-D2-D</v>
      </c>
      <c r="C116" s="50"/>
      <c r="D116" s="287"/>
      <c r="E116" s="287"/>
      <c r="F116" s="50"/>
      <c r="G116" s="50"/>
      <c r="H116" s="50"/>
      <c r="I116" s="127">
        <f t="shared" si="1"/>
        <v>0</v>
      </c>
      <c r="J116" s="47"/>
      <c r="K116" s="50"/>
      <c r="L116" s="50"/>
      <c r="M116" s="106" t="str">
        <f>HYPERLINK("https://www.youtube.com/watch?v=GvWLpm0tBEU&amp;index=29&amp;list=PLPSFnlxEu99Eds9cvJPk49sljXXvarTxM","Video Solution - Solver to be")</f>
        <v>Video Solution - Solver to be</v>
      </c>
    </row>
    <row r="117">
      <c r="A117" s="335" t="s">
        <v>912</v>
      </c>
      <c r="B117" s="317" t="str">
        <f>HYPERLINK("http://www.spoj.com/problems/PERMUT1/","SPOJ PERMUT1")</f>
        <v>SPOJ PERMUT1</v>
      </c>
      <c r="C117" s="50"/>
      <c r="D117" s="287"/>
      <c r="E117" s="287"/>
      <c r="F117" s="50"/>
      <c r="G117" s="50"/>
      <c r="H117" s="50"/>
      <c r="I117" s="127">
        <f t="shared" si="1"/>
        <v>0</v>
      </c>
      <c r="J117" s="47"/>
      <c r="K117" s="50"/>
      <c r="L117" s="50"/>
      <c r="M117" s="50"/>
    </row>
    <row r="118">
      <c r="A118" s="336" t="s">
        <v>952</v>
      </c>
      <c r="B118" s="317" t="str">
        <f>HYPERLINK("http://www.spoj.com/problems/ASSIGN/","SPOJ ASSIGN")</f>
        <v>SPOJ ASSIGN</v>
      </c>
      <c r="C118" s="50"/>
      <c r="D118" s="287"/>
      <c r="E118" s="287"/>
      <c r="F118" s="50"/>
      <c r="G118" s="50"/>
      <c r="H118" s="50"/>
      <c r="I118" s="127">
        <f t="shared" si="1"/>
        <v>0</v>
      </c>
      <c r="J118" s="117"/>
      <c r="K118" s="116"/>
      <c r="L118" s="50"/>
      <c r="M118" s="50"/>
    </row>
    <row r="119">
      <c r="A119" s="239"/>
      <c r="B119" s="240" t="str">
        <f>HYPERLINK("http://codeforces.com/contest/16/problem/E","CF16-D2-E")</f>
        <v>CF16-D2-E</v>
      </c>
      <c r="C119" s="50"/>
      <c r="D119" s="287"/>
      <c r="E119" s="287"/>
      <c r="F119" s="50"/>
      <c r="G119" s="50"/>
      <c r="H119" s="50"/>
      <c r="I119" s="127">
        <f t="shared" si="1"/>
        <v>0</v>
      </c>
      <c r="J119" s="117"/>
      <c r="K119" s="116"/>
      <c r="L119" s="50"/>
      <c r="M119" s="50"/>
    </row>
    <row r="120">
      <c r="A120" s="239" t="s">
        <v>953</v>
      </c>
      <c r="B120" s="240" t="str">
        <f>HYPERLINK("https://uva.onlinejudge.org/index.php?option=onlinejudge&amp;page=show_problem&amp;problem=1119","UVA 10178")</f>
        <v>UVA 10178</v>
      </c>
      <c r="C120" s="50"/>
      <c r="D120" s="287"/>
      <c r="E120" s="287"/>
      <c r="F120" s="50"/>
      <c r="G120" s="50"/>
      <c r="H120" s="50"/>
      <c r="I120" s="127">
        <f t="shared" si="1"/>
        <v>0</v>
      </c>
      <c r="J120" s="117"/>
      <c r="K120" s="116"/>
      <c r="L120" s="50"/>
      <c r="M120" s="214" t="str">
        <f>HYPERLINK("https://en.wikipedia.org/wiki/Planar_graph#Euler's_formula","Read first Euler Formula")</f>
        <v>Read first Euler Formula</v>
      </c>
    </row>
    <row r="121">
      <c r="A121" s="239" t="s">
        <v>954</v>
      </c>
      <c r="B121" s="240" t="str">
        <f>HYPERLINK("https://uva.onlinejudge.org/index.php?option=onlinejudge&amp;page=show_problem&amp;problem=1833","UVA 10892")</f>
        <v>UVA 10892</v>
      </c>
      <c r="C121" s="50"/>
      <c r="D121" s="50"/>
      <c r="E121" s="50"/>
      <c r="F121" s="50"/>
      <c r="G121" s="50"/>
      <c r="H121" s="50"/>
      <c r="I121" s="186">
        <f t="shared" si="1"/>
        <v>0</v>
      </c>
      <c r="J121" s="47"/>
      <c r="K121" s="50"/>
      <c r="L121" s="50"/>
      <c r="M121" s="50"/>
    </row>
    <row r="122">
      <c r="A122" s="247" t="s">
        <v>955</v>
      </c>
      <c r="B122" s="240" t="str">
        <f>HYPERLINK("http://codeforces.com/contest/645/problem/D","CF645-D12-D")</f>
        <v>CF645-D12-D</v>
      </c>
      <c r="C122" s="50"/>
      <c r="D122" s="287"/>
      <c r="E122" s="287"/>
      <c r="F122" s="50"/>
      <c r="G122" s="50"/>
      <c r="H122" s="50"/>
      <c r="I122" s="127">
        <f t="shared" si="1"/>
        <v>0</v>
      </c>
      <c r="J122" s="47"/>
      <c r="K122" s="50"/>
      <c r="L122" s="50"/>
    </row>
    <row r="123">
      <c r="A123" s="239" t="s">
        <v>956</v>
      </c>
      <c r="B123" s="240" t="str">
        <f>HYPERLINK("https://uva.onlinejudge.org/index.php?option=com_onlinejudge&amp;Itemid=8&amp;page=show_problem&amp;problem=1475","UVA 10534")</f>
        <v>UVA 10534</v>
      </c>
      <c r="C123" s="50"/>
      <c r="D123" s="50"/>
      <c r="E123" s="50"/>
      <c r="F123" s="50"/>
      <c r="G123" s="50"/>
      <c r="H123" s="50"/>
      <c r="I123" s="186">
        <f t="shared" si="1"/>
        <v>0</v>
      </c>
      <c r="J123" s="47"/>
      <c r="K123" s="50"/>
      <c r="L123" s="50"/>
      <c r="M123" s="213" t="str">
        <f>HYPERLINK("https://github.com/AliOsm/CompetitiveProgramming/blob/master/UVA/10534%20-%20Wavio%20Sequence.cpp","Sol")</f>
        <v>Sol</v>
      </c>
    </row>
    <row r="124">
      <c r="A124" s="247"/>
      <c r="B124" s="247" t="s">
        <v>957</v>
      </c>
      <c r="C124" s="50"/>
      <c r="D124" s="287"/>
      <c r="E124" s="287"/>
      <c r="F124" s="50"/>
      <c r="G124" s="50"/>
      <c r="H124" s="50"/>
      <c r="I124" s="127">
        <f t="shared" si="1"/>
        <v>0</v>
      </c>
      <c r="J124" s="47"/>
      <c r="K124" s="50"/>
      <c r="L124" s="50"/>
      <c r="M124" s="212" t="str">
        <f>HYPERLINK("https://ideone.com/x8zpRc","Sol - read the statement clarification")</f>
        <v>Sol - read the statement clarification</v>
      </c>
    </row>
    <row r="125">
      <c r="A125" s="87"/>
      <c r="B125" s="337"/>
      <c r="C125" s="50"/>
      <c r="D125" s="287"/>
      <c r="E125" s="287"/>
      <c r="F125" s="50"/>
      <c r="G125" s="50"/>
      <c r="H125" s="50"/>
      <c r="I125" s="127">
        <f t="shared" si="1"/>
        <v>0</v>
      </c>
      <c r="J125" s="86"/>
      <c r="K125" s="80"/>
      <c r="L125" s="50"/>
      <c r="M125" s="110"/>
    </row>
    <row r="126">
      <c r="A126" s="192" t="s">
        <v>958</v>
      </c>
      <c r="B126" s="202" t="str">
        <f>HYPERLINK("http://codeforces.com/contest/711/problem/D","CF711-D2-D")</f>
        <v>CF711-D2-D</v>
      </c>
      <c r="C126" s="50"/>
      <c r="D126" s="287"/>
      <c r="E126" s="287"/>
      <c r="F126" s="50"/>
      <c r="G126" s="50"/>
      <c r="H126" s="50"/>
      <c r="I126" s="127">
        <f t="shared" si="1"/>
        <v>0</v>
      </c>
      <c r="J126" s="86"/>
      <c r="K126" s="80"/>
      <c r="L126" s="50"/>
      <c r="M126" s="110"/>
    </row>
    <row r="127">
      <c r="A127" s="192" t="s">
        <v>959</v>
      </c>
      <c r="B127" s="108" t="str">
        <f>HYPERLINK("http://codeforces.com/contest/327/problem/D","CF327-D2-D")</f>
        <v>CF327-D2-D</v>
      </c>
      <c r="C127" s="50"/>
      <c r="D127" s="287"/>
      <c r="E127" s="287"/>
      <c r="F127" s="50"/>
      <c r="G127" s="50"/>
      <c r="H127" s="50"/>
      <c r="I127" s="127">
        <f t="shared" si="1"/>
        <v>0</v>
      </c>
      <c r="J127" s="86"/>
      <c r="K127" s="80"/>
      <c r="L127" s="50"/>
      <c r="M127" s="110"/>
    </row>
    <row r="128">
      <c r="A128" s="110" t="s">
        <v>960</v>
      </c>
      <c r="B128" s="111" t="str">
        <f>HYPERLINK("http://codeforces.com/contest/519/problem/D","CF519-D2-D")</f>
        <v>CF519-D2-D</v>
      </c>
      <c r="C128" s="50"/>
      <c r="D128" s="287"/>
      <c r="E128" s="287"/>
      <c r="F128" s="50"/>
      <c r="G128" s="50"/>
      <c r="H128" s="50"/>
      <c r="I128" s="127">
        <f t="shared" si="1"/>
        <v>0</v>
      </c>
      <c r="J128" s="117"/>
      <c r="K128" s="116"/>
      <c r="L128" s="50"/>
      <c r="M128" s="50"/>
    </row>
    <row r="129">
      <c r="A129" s="110" t="s">
        <v>961</v>
      </c>
      <c r="B129" s="111" t="str">
        <f>HYPERLINK("http://codeforces.com/contest/701/problem/D","CF701-D2-D")</f>
        <v>CF701-D2-D</v>
      </c>
      <c r="C129" s="50"/>
      <c r="D129" s="287"/>
      <c r="E129" s="287"/>
      <c r="F129" s="50"/>
      <c r="G129" s="50"/>
      <c r="H129" s="50"/>
      <c r="I129" s="127">
        <f t="shared" si="1"/>
        <v>0</v>
      </c>
      <c r="J129" s="117"/>
      <c r="K129" s="116"/>
      <c r="L129" s="50"/>
      <c r="M129" s="50"/>
    </row>
    <row r="130">
      <c r="A130" s="110" t="s">
        <v>962</v>
      </c>
      <c r="B130" s="111" t="str">
        <f>HYPERLINK("http://codeforces.com/contest/743/problem/D","CF743-D2-D")</f>
        <v>CF743-D2-D</v>
      </c>
      <c r="C130" s="50"/>
      <c r="D130" s="287"/>
      <c r="E130" s="287"/>
      <c r="F130" s="50"/>
      <c r="G130" s="50"/>
      <c r="H130" s="50"/>
      <c r="I130" s="127">
        <f t="shared" si="1"/>
        <v>0</v>
      </c>
      <c r="J130" s="117"/>
      <c r="K130" s="116"/>
      <c r="L130" s="50"/>
      <c r="M130" s="50"/>
    </row>
    <row r="131">
      <c r="A131" s="242" t="s">
        <v>963</v>
      </c>
      <c r="B131" s="314" t="str">
        <f>HYPERLINK("http://codeforces.com/contest/25/problem/C","CF25-D2-C")</f>
        <v>CF25-D2-C</v>
      </c>
      <c r="C131" s="50"/>
      <c r="D131" s="287"/>
      <c r="E131" s="287"/>
      <c r="F131" s="50"/>
      <c r="G131" s="50"/>
      <c r="H131" s="50"/>
      <c r="I131" s="127">
        <f t="shared" si="1"/>
        <v>0</v>
      </c>
      <c r="J131" s="117"/>
      <c r="K131" s="116"/>
      <c r="L131" s="50"/>
      <c r="M131" s="50"/>
    </row>
    <row r="132">
      <c r="A132" s="242" t="s">
        <v>964</v>
      </c>
      <c r="B132" s="314" t="str">
        <f>HYPERLINK("http://codeforces.com/contest/203/problem/C","CF203-D2-C")</f>
        <v>CF203-D2-C</v>
      </c>
      <c r="C132" s="50"/>
      <c r="D132" s="287"/>
      <c r="E132" s="287"/>
      <c r="F132" s="50"/>
      <c r="G132" s="50"/>
      <c r="H132" s="50"/>
      <c r="I132" s="127">
        <f t="shared" si="1"/>
        <v>0</v>
      </c>
      <c r="J132" s="117"/>
      <c r="K132" s="116"/>
      <c r="L132" s="50"/>
      <c r="M132" s="50"/>
    </row>
    <row r="133">
      <c r="A133" s="242" t="s">
        <v>965</v>
      </c>
      <c r="B133" s="314" t="str">
        <f>HYPERLINK("http://codeforces.com/contest/236/problem/C","CF236-D2-C")</f>
        <v>CF236-D2-C</v>
      </c>
      <c r="C133" s="50"/>
      <c r="D133" s="287"/>
      <c r="E133" s="287"/>
      <c r="F133" s="50"/>
      <c r="G133" s="50"/>
      <c r="H133" s="50"/>
      <c r="I133" s="127">
        <f t="shared" si="1"/>
        <v>0</v>
      </c>
      <c r="J133" s="117"/>
      <c r="K133" s="116"/>
      <c r="L133" s="50"/>
      <c r="M133" s="50"/>
    </row>
    <row r="134">
      <c r="A134" s="338"/>
      <c r="B134" s="50"/>
      <c r="C134" s="50"/>
      <c r="D134" s="287"/>
      <c r="E134" s="287"/>
      <c r="F134" s="50"/>
      <c r="G134" s="50"/>
      <c r="H134" s="50"/>
      <c r="I134" s="127">
        <f t="shared" si="1"/>
        <v>0</v>
      </c>
      <c r="J134" s="117"/>
      <c r="K134" s="116"/>
      <c r="L134" s="50"/>
      <c r="M134" s="324" t="str">
        <f>HYPERLINK("https://www.youtube.com/watch?v=IGaJWl0jPY4","String Processing - Trie")</f>
        <v>String Processing - Trie</v>
      </c>
    </row>
    <row r="135">
      <c r="A135" s="339" t="s">
        <v>966</v>
      </c>
      <c r="B135" s="317" t="str">
        <f>HYPERLINK("http://www.spoj.com/problems/DICT/","SPOJ DICT")</f>
        <v>SPOJ DICT</v>
      </c>
      <c r="C135" s="50"/>
      <c r="D135" s="287"/>
      <c r="E135" s="287"/>
      <c r="F135" s="50"/>
      <c r="G135" s="50"/>
      <c r="H135" s="50"/>
      <c r="I135" s="127">
        <f t="shared" si="1"/>
        <v>0</v>
      </c>
      <c r="J135" s="117"/>
      <c r="K135" s="116"/>
      <c r="L135" s="50"/>
      <c r="M135" s="50"/>
    </row>
    <row r="136">
      <c r="A136" s="339" t="s">
        <v>967</v>
      </c>
      <c r="B136" s="317" t="str">
        <f>HYPERLINK("https://uva.onlinejudge.org/index.php?option=com_onlinejudge&amp;Itemid=8&amp;page=show_problem&amp;problem=4331","UVA 1556")</f>
        <v>UVA 1556</v>
      </c>
      <c r="C136" s="50"/>
      <c r="D136" s="287"/>
      <c r="E136" s="287"/>
      <c r="F136" s="50"/>
      <c r="G136" s="50"/>
      <c r="H136" s="50"/>
      <c r="I136" s="127">
        <f t="shared" si="1"/>
        <v>0</v>
      </c>
      <c r="J136" s="117"/>
      <c r="K136" s="116"/>
      <c r="L136" s="50"/>
      <c r="M136" s="50"/>
    </row>
    <row r="137">
      <c r="A137" s="339" t="s">
        <v>968</v>
      </c>
      <c r="B137" s="317" t="str">
        <f>HYPERLINK("http://www.spoj.com/problems/PHONELST/","SPOJ PHONELST")</f>
        <v>SPOJ PHONELST</v>
      </c>
      <c r="C137" s="50"/>
      <c r="D137" s="287"/>
      <c r="E137" s="287"/>
      <c r="F137" s="50"/>
      <c r="G137" s="50"/>
      <c r="H137" s="50"/>
      <c r="I137" s="127">
        <f t="shared" si="1"/>
        <v>0</v>
      </c>
      <c r="J137" s="117"/>
      <c r="K137" s="116"/>
      <c r="L137" s="50"/>
      <c r="M137" s="50"/>
    </row>
    <row r="138">
      <c r="A138" s="339" t="s">
        <v>969</v>
      </c>
      <c r="B138" s="317" t="str">
        <f>HYPERLINK("https://uva.onlinejudge.org/index.php?option=com_onlinejudge&amp;Itemid=8&amp;page=show_problem&amp;problem=3971","UVA 12526")</f>
        <v>UVA 12526</v>
      </c>
      <c r="C138" s="50"/>
      <c r="D138" s="287"/>
      <c r="E138" s="287"/>
      <c r="F138" s="50"/>
      <c r="G138" s="50"/>
      <c r="H138" s="50"/>
      <c r="I138" s="127">
        <f t="shared" si="1"/>
        <v>0</v>
      </c>
      <c r="J138" s="117"/>
      <c r="K138" s="116"/>
      <c r="L138" s="50"/>
      <c r="M138" s="50"/>
    </row>
    <row r="139">
      <c r="A139" s="325" t="s">
        <v>970</v>
      </c>
      <c r="B139" s="317" t="str">
        <f>HYPERLINK("http://codeforces.com/contest/706/problem/D","CF706-D2-D")</f>
        <v>CF706-D2-D</v>
      </c>
      <c r="C139" s="50"/>
      <c r="D139" s="287"/>
      <c r="E139" s="287"/>
      <c r="F139" s="50"/>
      <c r="G139" s="50"/>
      <c r="H139" s="50"/>
      <c r="I139" s="127">
        <f t="shared" si="1"/>
        <v>0</v>
      </c>
      <c r="J139" s="117"/>
      <c r="K139" s="116"/>
      <c r="L139" s="50"/>
      <c r="M139" s="50"/>
    </row>
    <row r="140">
      <c r="A140" s="239" t="s">
        <v>971</v>
      </c>
      <c r="B140" s="240" t="str">
        <f>HYPERLINK("https://uva.onlinejudge.org/index.php?option=onlinejudge&amp;page=show_problem&amp;problem=1054","UVA 10113")</f>
        <v>UVA 10113</v>
      </c>
      <c r="C140" s="50"/>
      <c r="D140" s="287"/>
      <c r="E140" s="287"/>
      <c r="F140" s="50"/>
      <c r="G140" s="50"/>
      <c r="H140" s="50"/>
      <c r="I140" s="127">
        <f t="shared" si="1"/>
        <v>0</v>
      </c>
      <c r="J140" s="117"/>
      <c r="K140" s="116"/>
      <c r="L140" s="50"/>
      <c r="M140" s="50"/>
    </row>
    <row r="141">
      <c r="A141" s="239" t="s">
        <v>972</v>
      </c>
      <c r="B141" s="240" t="str">
        <f>HYPERLINK("https://uva.onlinejudge.org/index.php?option=com_onlinejudge&amp;Itemid=8&amp;page=show_problem&amp;problem=668","UVA 727")</f>
        <v>UVA 727</v>
      </c>
      <c r="C141" s="50"/>
      <c r="D141" s="50"/>
      <c r="E141" s="50"/>
      <c r="F141" s="50"/>
      <c r="G141" s="50"/>
      <c r="H141" s="50"/>
      <c r="I141" s="186">
        <f t="shared" si="1"/>
        <v>0</v>
      </c>
      <c r="J141" s="47"/>
      <c r="K141" s="50"/>
      <c r="L141" s="50"/>
      <c r="M141" s="47"/>
    </row>
    <row r="142">
      <c r="A142" s="239" t="s">
        <v>973</v>
      </c>
      <c r="B142" s="240" t="str">
        <f>HYPERLINK("http://codeforces.com/contest/47/problem/D","CF47-D2-D")</f>
        <v>CF47-D2-D</v>
      </c>
      <c r="C142" s="50"/>
      <c r="D142" s="50"/>
      <c r="E142" s="50"/>
      <c r="F142" s="50"/>
      <c r="G142" s="50"/>
      <c r="H142" s="50"/>
      <c r="I142" s="186">
        <f t="shared" si="1"/>
        <v>0</v>
      </c>
      <c r="J142" s="47"/>
      <c r="K142" s="50"/>
      <c r="L142" s="50"/>
      <c r="M142" s="47"/>
    </row>
    <row r="143">
      <c r="A143" s="239" t="s">
        <v>974</v>
      </c>
      <c r="B143" s="240" t="str">
        <f>HYPERLINK("https://uva.onlinejudge.org/index.php?option=onlinejudge&amp;page=show_problem&amp;problem=3801","UVA 12379")</f>
        <v>UVA 12379</v>
      </c>
      <c r="C143" s="50"/>
      <c r="D143" s="287"/>
      <c r="E143" s="287"/>
      <c r="F143" s="50"/>
      <c r="G143" s="50"/>
      <c r="H143" s="50"/>
      <c r="I143" s="127">
        <f t="shared" si="1"/>
        <v>0</v>
      </c>
      <c r="J143" s="117"/>
      <c r="K143" s="116"/>
      <c r="L143" s="50"/>
      <c r="M143" s="212" t="str">
        <f>HYPERLINK("https://github.com/abdullaAshraf/Problem-Solving/blob/master/UVA/12379.cpp","Sol")</f>
        <v>Sol</v>
      </c>
    </row>
    <row r="144">
      <c r="A144" s="239" t="s">
        <v>975</v>
      </c>
      <c r="B144" s="240" t="str">
        <f>HYPERLINK("https://uva.onlinejudge.org/index.php?option=com_onlinejudge&amp;Itemid=8&amp;page=show_problem&amp;problem=89","UVA 153")</f>
        <v>UVA 153</v>
      </c>
      <c r="C144" s="50"/>
      <c r="D144" s="287"/>
      <c r="E144" s="287"/>
      <c r="F144" s="50"/>
      <c r="G144" s="50"/>
      <c r="H144" s="50"/>
      <c r="I144" s="127">
        <f t="shared" si="1"/>
        <v>0</v>
      </c>
      <c r="J144" s="117"/>
      <c r="K144" s="116"/>
      <c r="L144" s="50"/>
      <c r="M144" s="212" t="str">
        <f>HYPERLINK("https://github.com/ahmedcpbl/CompetitiveProgramming/blob/master/UVA/153.cpp","Sol")</f>
        <v>Sol</v>
      </c>
    </row>
    <row r="145">
      <c r="A145" s="50"/>
      <c r="B145" s="50"/>
      <c r="C145" s="50"/>
      <c r="D145" s="287"/>
      <c r="E145" s="287"/>
      <c r="F145" s="50"/>
      <c r="G145" s="50"/>
      <c r="H145" s="50"/>
      <c r="I145" s="127">
        <f t="shared" si="1"/>
        <v>0</v>
      </c>
      <c r="J145" s="117"/>
      <c r="K145" s="116"/>
      <c r="L145" s="50"/>
      <c r="M145" s="201" t="str">
        <f>HYPERLINK("https://www.youtube.com/watch?v=t-52tQ3vEgo","DP - Sub-rectangle style")</f>
        <v>DP - Sub-rectangle style</v>
      </c>
    </row>
    <row r="146">
      <c r="A146" s="339"/>
      <c r="B146" s="340" t="str">
        <f>HYPERLINK("https://uva.onlinejudge.org/index.php?option=onlinejudge&amp;page=show_problem&amp;problem=448","UVA 507")</f>
        <v>UVA 507</v>
      </c>
      <c r="C146" s="50"/>
      <c r="D146" s="287"/>
      <c r="E146" s="287"/>
      <c r="F146" s="50"/>
      <c r="G146" s="50"/>
      <c r="H146" s="50"/>
      <c r="I146" s="127">
        <f t="shared" si="1"/>
        <v>0</v>
      </c>
      <c r="J146" s="117"/>
      <c r="K146" s="116"/>
      <c r="L146" s="50"/>
      <c r="M146" s="50"/>
    </row>
    <row r="147">
      <c r="A147" s="339"/>
      <c r="B147" s="340" t="str">
        <f>HYPERLINK("https://uva.onlinejudge.org/index.php?option=com_onlinejudge&amp;Itemid=8&amp;page=show_problem&amp;problem=1608","UVA 10667")</f>
        <v>UVA 10667</v>
      </c>
      <c r="C147" s="50"/>
      <c r="D147" s="287"/>
      <c r="E147" s="287"/>
      <c r="F147" s="50"/>
      <c r="G147" s="50"/>
      <c r="H147" s="50"/>
      <c r="I147" s="127">
        <f t="shared" si="1"/>
        <v>0</v>
      </c>
      <c r="J147" s="117"/>
      <c r="K147" s="116"/>
      <c r="L147" s="50"/>
      <c r="M147" s="50"/>
    </row>
    <row r="148">
      <c r="A148" s="151"/>
      <c r="B148" s="111"/>
      <c r="C148" s="50"/>
      <c r="D148" s="287"/>
      <c r="E148" s="287"/>
      <c r="F148" s="50"/>
      <c r="G148" s="50"/>
      <c r="H148" s="50"/>
      <c r="I148" s="127">
        <f t="shared" si="1"/>
        <v>0</v>
      </c>
      <c r="J148" s="117"/>
      <c r="K148" s="116"/>
      <c r="L148" s="50"/>
      <c r="M148" s="50"/>
    </row>
    <row r="149">
      <c r="A149" s="151" t="s">
        <v>976</v>
      </c>
      <c r="B149" s="111" t="str">
        <f>HYPERLINK("http://codeforces.com/contest/96/problem/D","CF96-D2-D")</f>
        <v>CF96-D2-D</v>
      </c>
      <c r="C149" s="50"/>
      <c r="D149" s="287"/>
      <c r="E149" s="287"/>
      <c r="F149" s="50"/>
      <c r="G149" s="50"/>
      <c r="H149" s="50"/>
      <c r="I149" s="127">
        <f t="shared" si="1"/>
        <v>0</v>
      </c>
      <c r="J149" s="117"/>
      <c r="K149" s="116"/>
      <c r="L149" s="50"/>
      <c r="M149" s="50"/>
    </row>
    <row r="150">
      <c r="A150" s="151" t="s">
        <v>977</v>
      </c>
      <c r="B150" s="111" t="str">
        <f>HYPERLINK("http://codeforces.com/contest/606/problem/D","CF606-D2-D")</f>
        <v>CF606-D2-D</v>
      </c>
      <c r="C150" s="50"/>
      <c r="D150" s="287"/>
      <c r="E150" s="287"/>
      <c r="F150" s="50"/>
      <c r="G150" s="50"/>
      <c r="H150" s="50"/>
      <c r="I150" s="127">
        <f t="shared" si="1"/>
        <v>0</v>
      </c>
      <c r="J150" s="117"/>
      <c r="K150" s="116"/>
      <c r="L150" s="50"/>
      <c r="M150" s="50"/>
    </row>
    <row r="151">
      <c r="A151" s="151" t="s">
        <v>373</v>
      </c>
      <c r="B151" s="111" t="str">
        <f>HYPERLINK("http://codeforces.com/contest/448/problem/D","CF448-D2-D")</f>
        <v>CF448-D2-D</v>
      </c>
      <c r="C151" s="50"/>
      <c r="D151" s="287"/>
      <c r="E151" s="287"/>
      <c r="F151" s="50"/>
      <c r="G151" s="50"/>
      <c r="H151" s="50"/>
      <c r="I151" s="127">
        <f t="shared" si="1"/>
        <v>0</v>
      </c>
      <c r="J151" s="117"/>
      <c r="K151" s="116"/>
      <c r="L151" s="50"/>
      <c r="M151" s="128" t="str">
        <f>HYPERLINK("https://www.youtube.com/watch?v=up_Z5e9ZsCU","Video Solution - Solve to be (Java)")</f>
        <v>Video Solution - Solve to be (Java)</v>
      </c>
    </row>
    <row r="152">
      <c r="A152" s="151"/>
      <c r="B152" s="111" t="str">
        <f>HYPERLINK("http://codeforces.com/contest/486/problem/D","CF486-D2-D")</f>
        <v>CF486-D2-D</v>
      </c>
      <c r="C152" s="50"/>
      <c r="D152" s="287"/>
      <c r="E152" s="287"/>
      <c r="F152" s="50"/>
      <c r="G152" s="50"/>
      <c r="H152" s="50"/>
      <c r="I152" s="127">
        <f t="shared" si="1"/>
        <v>0</v>
      </c>
      <c r="J152" s="117"/>
      <c r="K152" s="116"/>
      <c r="L152" s="50"/>
      <c r="M152" s="128"/>
    </row>
    <row r="153">
      <c r="A153" s="151"/>
      <c r="B153" s="111" t="str">
        <f>HYPERLINK("http://codeforces.com/contest/1040/problem/D","CF1040-D2-D")</f>
        <v>CF1040-D2-D</v>
      </c>
      <c r="C153" s="50"/>
      <c r="D153" s="287"/>
      <c r="E153" s="287"/>
      <c r="F153" s="50"/>
      <c r="G153" s="50"/>
      <c r="H153" s="50"/>
      <c r="I153" s="127">
        <f t="shared" si="1"/>
        <v>0</v>
      </c>
      <c r="J153" s="117"/>
      <c r="K153" s="116"/>
      <c r="L153" s="50"/>
      <c r="M153" s="128"/>
    </row>
    <row r="154">
      <c r="A154" s="151"/>
      <c r="B154" s="111" t="str">
        <f>HYPERLINK("http://codeforces.com/contest/264/problem/C","CF264-D1-C")</f>
        <v>CF264-D1-C</v>
      </c>
      <c r="C154" s="50"/>
      <c r="D154" s="287"/>
      <c r="E154" s="287"/>
      <c r="F154" s="50"/>
      <c r="G154" s="50"/>
      <c r="H154" s="50"/>
      <c r="I154" s="127">
        <f t="shared" si="1"/>
        <v>0</v>
      </c>
      <c r="J154" s="117"/>
      <c r="K154" s="116"/>
      <c r="L154" s="50"/>
      <c r="M154" s="128"/>
    </row>
    <row r="155">
      <c r="A155" s="151"/>
      <c r="B155" s="111" t="str">
        <f>HYPERLINK("http://codeforces.com/contest/506/problem/A", "CF506-D1-A")</f>
        <v>CF506-D1-A</v>
      </c>
      <c r="C155" s="50"/>
      <c r="D155" s="287"/>
      <c r="E155" s="287"/>
      <c r="F155" s="50"/>
      <c r="G155" s="50"/>
      <c r="H155" s="50"/>
      <c r="I155" s="127">
        <f t="shared" si="1"/>
        <v>0</v>
      </c>
      <c r="J155" s="117"/>
      <c r="K155" s="116"/>
      <c r="L155" s="50"/>
      <c r="M155" s="128"/>
    </row>
    <row r="156">
      <c r="A156" s="151"/>
      <c r="B156" s="111" t="str">
        <f>HYPERLINK("https://www.codechef.com/problems/KSUM","CODECHEF KSUM")</f>
        <v>CODECHEF KSUM</v>
      </c>
      <c r="C156" s="50"/>
      <c r="D156" s="287"/>
      <c r="E156" s="287"/>
      <c r="F156" s="50"/>
      <c r="G156" s="50"/>
      <c r="H156" s="50"/>
      <c r="I156" s="127">
        <f t="shared" si="1"/>
        <v>0</v>
      </c>
      <c r="J156" s="117"/>
      <c r="K156" s="116"/>
      <c r="L156" s="50"/>
      <c r="M156" s="128"/>
    </row>
    <row r="157">
      <c r="A157" s="151"/>
      <c r="B157" s="111" t="str">
        <f>HYPERLINK("http://codeforces.com/contest/623/problem/B","CF623-D1-B")</f>
        <v>CF623-D1-B</v>
      </c>
      <c r="C157" s="50"/>
      <c r="D157" s="287"/>
      <c r="E157" s="287"/>
      <c r="F157" s="50"/>
      <c r="G157" s="50"/>
      <c r="H157" s="50"/>
      <c r="I157" s="127">
        <f t="shared" si="1"/>
        <v>0</v>
      </c>
      <c r="J157" s="117"/>
      <c r="K157" s="116"/>
      <c r="L157" s="50"/>
      <c r="M157" s="128"/>
    </row>
    <row r="158">
      <c r="A158" s="341" t="s">
        <v>978</v>
      </c>
      <c r="B158" s="314" t="str">
        <f>HYPERLINK("http://codeforces.com/contest/376/problem/C","CF376-D2-C")</f>
        <v>CF376-D2-C</v>
      </c>
      <c r="C158" s="50"/>
      <c r="D158" s="287"/>
      <c r="E158" s="287"/>
      <c r="F158" s="50"/>
      <c r="G158" s="50"/>
      <c r="H158" s="50"/>
      <c r="I158" s="127">
        <f t="shared" si="1"/>
        <v>0</v>
      </c>
      <c r="J158" s="117"/>
      <c r="K158" s="116"/>
      <c r="L158" s="50"/>
      <c r="M158" s="128"/>
    </row>
    <row r="159">
      <c r="A159" s="342" t="s">
        <v>979</v>
      </c>
      <c r="B159" s="314" t="str">
        <f>HYPERLINK("http://codeforces.com/contest/439/problem/C","CF439-D2-C")</f>
        <v>CF439-D2-C</v>
      </c>
      <c r="C159" s="50"/>
      <c r="D159" s="287"/>
      <c r="E159" s="287"/>
      <c r="F159" s="50"/>
      <c r="G159" s="50"/>
      <c r="H159" s="50"/>
      <c r="I159" s="127">
        <f t="shared" si="1"/>
        <v>0</v>
      </c>
      <c r="J159" s="117"/>
      <c r="K159" s="116"/>
      <c r="L159" s="50"/>
      <c r="M159" s="128"/>
    </row>
    <row r="160">
      <c r="A160" s="342" t="s">
        <v>980</v>
      </c>
      <c r="B160" s="314" t="str">
        <f>HYPERLINK("http://codeforces.com/contest/557/problem/C","CF557-D2-C")</f>
        <v>CF557-D2-C</v>
      </c>
      <c r="C160" s="50"/>
      <c r="D160" s="287"/>
      <c r="E160" s="287"/>
      <c r="F160" s="50"/>
      <c r="G160" s="50"/>
      <c r="H160" s="50"/>
      <c r="I160" s="127">
        <f t="shared" si="1"/>
        <v>0</v>
      </c>
      <c r="J160" s="117"/>
      <c r="K160" s="116"/>
      <c r="L160" s="50"/>
      <c r="M160" s="128"/>
    </row>
  </sheetData>
  <conditionalFormatting sqref="C30:C31">
    <cfRule type="containsText" dxfId="4" priority="1" operator="containsText" text="CS">
      <formula>NOT(ISERROR(SEARCH(("CS"),(C30))))</formula>
    </cfRule>
  </conditionalFormatting>
  <conditionalFormatting sqref="C30:C31">
    <cfRule type="containsText" dxfId="3" priority="2" operator="containsText" text="RTE">
      <formula>NOT(ISERROR(SEARCH(("RTE"),(C30))))</formula>
    </cfRule>
  </conditionalFormatting>
  <conditionalFormatting sqref="C30:C31">
    <cfRule type="containsText" dxfId="2" priority="3" operator="containsText" text="TLE">
      <formula>NOT(ISERROR(SEARCH(("TLE"),(C30))))</formula>
    </cfRule>
  </conditionalFormatting>
  <conditionalFormatting sqref="C30:C31">
    <cfRule type="containsText" dxfId="1" priority="4" operator="containsText" text="WA">
      <formula>NOT(ISERROR(SEARCH(("WA"),(C30))))</formula>
    </cfRule>
  </conditionalFormatting>
  <conditionalFormatting sqref="C30:C31">
    <cfRule type="containsText" dxfId="4" priority="5" operator="containsText" text="CS">
      <formula>NOT(ISERROR(SEARCH(("CS"),(C30))))</formula>
    </cfRule>
  </conditionalFormatting>
  <conditionalFormatting sqref="C30:C31">
    <cfRule type="containsText" dxfId="3" priority="6" operator="containsText" text="RTE">
      <formula>NOT(ISERROR(SEARCH(("RTE"),(C30))))</formula>
    </cfRule>
  </conditionalFormatting>
  <conditionalFormatting sqref="C30:C31">
    <cfRule type="containsText" dxfId="2" priority="7" operator="containsText" text="TLE">
      <formula>NOT(ISERROR(SEARCH(("TLE"),(C30))))</formula>
    </cfRule>
  </conditionalFormatting>
  <conditionalFormatting sqref="C30:C31">
    <cfRule type="containsText" dxfId="1" priority="8" operator="containsText" text="WA">
      <formula>NOT(ISERROR(SEARCH(("WA"),(C30))))</formula>
    </cfRule>
  </conditionalFormatting>
  <conditionalFormatting sqref="C30:C31">
    <cfRule type="cellIs" dxfId="0" priority="9" operator="equal">
      <formula>"AC"</formula>
    </cfRule>
  </conditionalFormatting>
  <conditionalFormatting sqref="K30">
    <cfRule type="cellIs" dxfId="5" priority="10" operator="equal">
      <formula>"NO"</formula>
    </cfRule>
  </conditionalFormatting>
  <conditionalFormatting sqref="K30">
    <cfRule type="cellIs" dxfId="5" priority="11" operator="equal">
      <formula>"no"</formula>
    </cfRule>
  </conditionalFormatting>
  <conditionalFormatting sqref="K30">
    <cfRule type="cellIs" dxfId="5" priority="12" operator="equal">
      <formula>"No"</formula>
    </cfRule>
  </conditionalFormatting>
  <conditionalFormatting sqref="K3:K29 K36 K40:K160">
    <cfRule type="cellIs" dxfId="5" priority="13" operator="equal">
      <formula>"No"</formula>
    </cfRule>
  </conditionalFormatting>
  <conditionalFormatting sqref="K3:K29 K36 K40:K160">
    <cfRule type="cellIs" dxfId="5" priority="14" operator="equal">
      <formula>"no"</formula>
    </cfRule>
  </conditionalFormatting>
  <conditionalFormatting sqref="K3:K29 K36 K40:K160">
    <cfRule type="cellIs" dxfId="5" priority="15" operator="equal">
      <formula>"NO"</formula>
    </cfRule>
  </conditionalFormatting>
  <conditionalFormatting sqref="C3:C160 A145:B145">
    <cfRule type="cellIs" dxfId="0" priority="16" operator="equal">
      <formula>"AC"</formula>
    </cfRule>
  </conditionalFormatting>
  <conditionalFormatting sqref="C3:C160 A145:B145">
    <cfRule type="containsText" dxfId="1" priority="17" operator="containsText" text="WA">
      <formula>NOT(ISERROR(SEARCH(("WA"),(C3))))</formula>
    </cfRule>
  </conditionalFormatting>
  <conditionalFormatting sqref="C36 C48:C160 A145:B145">
    <cfRule type="containsText" dxfId="1" priority="18" operator="containsText" text="WA">
      <formula>NOT(ISERROR(SEARCH(("WA"),(C36))))</formula>
    </cfRule>
  </conditionalFormatting>
  <conditionalFormatting sqref="C3:C160 A145:B145">
    <cfRule type="containsText" dxfId="2" priority="19" operator="containsText" text="TLE">
      <formula>NOT(ISERROR(SEARCH(("TLE"),(C3))))</formula>
    </cfRule>
  </conditionalFormatting>
  <conditionalFormatting sqref="C36 C48:C160 A145:B145">
    <cfRule type="containsText" dxfId="2" priority="20" operator="containsText" text="TLE">
      <formula>NOT(ISERROR(SEARCH(("TLE"),(C36))))</formula>
    </cfRule>
  </conditionalFormatting>
  <conditionalFormatting sqref="C3:C160 A145:B145">
    <cfRule type="containsText" dxfId="3" priority="21" operator="containsText" text="RTE">
      <formula>NOT(ISERROR(SEARCH(("RTE"),(C3))))</formula>
    </cfRule>
  </conditionalFormatting>
  <conditionalFormatting sqref="C36 C48:C160 A145:B145">
    <cfRule type="containsText" dxfId="3" priority="22" operator="containsText" text="RTE">
      <formula>NOT(ISERROR(SEARCH(("RTE"),(C36))))</formula>
    </cfRule>
  </conditionalFormatting>
  <conditionalFormatting sqref="C3:C160 A145:B145">
    <cfRule type="containsText" dxfId="4" priority="23" operator="containsText" text="CS">
      <formula>NOT(ISERROR(SEARCH(("CS"),(C3))))</formula>
    </cfRule>
  </conditionalFormatting>
  <conditionalFormatting sqref="C36 C48:C160 A145:B145">
    <cfRule type="containsText" dxfId="4"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5.71"/>
    <col customWidth="1" min="2" max="2" width="19.86"/>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75.43"/>
  </cols>
  <sheetData>
    <row r="1">
      <c r="A1" s="182" t="s">
        <v>143</v>
      </c>
      <c r="B1" s="67" t="s">
        <v>144</v>
      </c>
      <c r="C1" s="68" t="s">
        <v>145</v>
      </c>
      <c r="D1" s="69" t="s">
        <v>146</v>
      </c>
      <c r="E1" s="69" t="s">
        <v>147</v>
      </c>
      <c r="F1" s="68" t="s">
        <v>148</v>
      </c>
      <c r="G1" s="69" t="s">
        <v>149</v>
      </c>
      <c r="H1" s="69" t="s">
        <v>150</v>
      </c>
      <c r="I1" s="69" t="s">
        <v>151</v>
      </c>
      <c r="J1" s="68" t="s">
        <v>152</v>
      </c>
      <c r="K1" s="68" t="s">
        <v>153</v>
      </c>
      <c r="L1" s="68" t="s">
        <v>154</v>
      </c>
      <c r="M1" s="70" t="s">
        <v>155</v>
      </c>
    </row>
    <row r="2">
      <c r="A2" s="183"/>
      <c r="B2" s="184" t="s">
        <v>156</v>
      </c>
      <c r="C2" s="73">
        <f>countif(C3:C10540, "AC")</f>
        <v>0</v>
      </c>
      <c r="D2" s="74">
        <f>ROUND(SUMPRODUCT(D3:D10540,INT(EQ(C3:C10540, "AC")))/MAX(1, C2),1)</f>
        <v>0</v>
      </c>
      <c r="E2" s="74">
        <f>ROUND(SUMPRODUCT(E3:E10562,INT(EQ(C3:C10562, "AC")))/MAX(1, C2),0)</f>
        <v>0</v>
      </c>
      <c r="F2" s="74">
        <f>ROUND(SUMPRODUCT(F3:F10565,INT(EQ(C3:C10565, "AC")))/MAX(1, C2),0)</f>
        <v>0</v>
      </c>
      <c r="G2" s="74">
        <f>ROUND(SUMPRODUCT(G3:G10565,INT(EQ(C3:C10565, "AC")))/MAX(1, C2),0)</f>
        <v>0</v>
      </c>
      <c r="H2" s="74">
        <f>ROUND(SUMPRODUCT(H3:H10565,INT(EQ(C3:C10565, "AC")))/MAX(1, C2),0)</f>
        <v>0</v>
      </c>
      <c r="I2" s="74">
        <f>ROUND(SUMPRODUCT(I3:I10537,INT(EQ(C3:C10537, "AC")))/MAX(1, C2),0)</f>
        <v>0</v>
      </c>
      <c r="J2" s="74">
        <f>ROUND(SUMPRODUCT(J3:J10535,INT(EQ(C3:C10535, "AC")))/MAX(1, C2),1)</f>
        <v>0</v>
      </c>
      <c r="K2" s="74">
        <f>SUMPRODUCT(EQ(K3:K10540, "YES"),INT(EQ(C3:C10565, "AC")))</f>
        <v>0</v>
      </c>
      <c r="L2" s="75">
        <f>IFERROR(__xludf.DUMMYFUNCTION("COUNTA(FILTER(C3:C10032, NOT(REGEXMATCH(C3:C10032, ""AC""))))"),0.0)</f>
        <v>0</v>
      </c>
      <c r="M2" s="76">
        <f>IFERROR(__xludf.DUMMYFUNCTION("COUNTA(FILTER(C3:C10027, NOT(REGEXMATCH(C3:C10027, ""AC""))))"),0.0)</f>
        <v>0</v>
      </c>
    </row>
    <row r="3">
      <c r="A3" s="293"/>
      <c r="B3" s="293"/>
      <c r="C3" s="185"/>
      <c r="D3" s="185"/>
      <c r="E3" s="185"/>
      <c r="F3" s="185"/>
      <c r="G3" s="185"/>
      <c r="H3" s="186"/>
      <c r="I3" s="81">
        <f t="shared" ref="I3:I158" si="1">SUM(E3:H3)</f>
        <v>0</v>
      </c>
      <c r="J3" s="86"/>
      <c r="K3" s="80"/>
      <c r="L3" s="185"/>
      <c r="M3" s="290" t="str">
        <f>HYPERLINK("https://www.youtube.com/watch?v=vjxLlFTKhrU&amp;index=2&amp;list=PLPt2dINI2MIYrtHBahPW16S-Wz9wx24Nc","String Processing - KMP (2 vid)")</f>
        <v>String Processing - KMP (2 vid)</v>
      </c>
    </row>
    <row r="4">
      <c r="A4" s="343" t="s">
        <v>981</v>
      </c>
      <c r="B4" s="344" t="str">
        <f>HYPERLINK("http://poj.org/problem?id=3461","PKU 3461")</f>
        <v>PKU 3461</v>
      </c>
      <c r="C4" s="185"/>
      <c r="D4" s="185"/>
      <c r="E4" s="185"/>
      <c r="F4" s="185"/>
      <c r="G4" s="185"/>
      <c r="H4" s="186"/>
      <c r="I4" s="81">
        <f t="shared" si="1"/>
        <v>0</v>
      </c>
      <c r="J4" s="86"/>
      <c r="K4" s="80"/>
      <c r="L4" s="50"/>
      <c r="M4" s="110"/>
    </row>
    <row r="5">
      <c r="A5" s="304" t="s">
        <v>982</v>
      </c>
      <c r="B5" s="344" t="str">
        <f>HYPERLINK("http://www.spoj.com/problems/NHAY","SPOJ NHAY")</f>
        <v>SPOJ NHAY</v>
      </c>
      <c r="C5" s="185"/>
      <c r="D5" s="185"/>
      <c r="E5" s="185"/>
      <c r="F5" s="185"/>
      <c r="G5" s="185"/>
      <c r="H5" s="186"/>
      <c r="I5" s="81">
        <f t="shared" si="1"/>
        <v>0</v>
      </c>
      <c r="J5" s="86"/>
      <c r="K5" s="80"/>
      <c r="L5" s="50"/>
      <c r="M5" s="110"/>
    </row>
    <row r="6">
      <c r="A6" s="345" t="s">
        <v>983</v>
      </c>
      <c r="B6" s="344" t="str">
        <f>HYPERLINK("http://www.spoj.com/problems/TESSER/","SPOJ TESSER")</f>
        <v>SPOJ TESSER</v>
      </c>
      <c r="C6" s="185"/>
      <c r="D6" s="185"/>
      <c r="E6" s="185"/>
      <c r="F6" s="185"/>
      <c r="G6" s="185"/>
      <c r="H6" s="186"/>
      <c r="I6" s="81">
        <f t="shared" si="1"/>
        <v>0</v>
      </c>
      <c r="J6" s="86"/>
      <c r="K6" s="80"/>
      <c r="L6" s="50"/>
      <c r="M6" s="110"/>
    </row>
    <row r="7">
      <c r="A7" s="345" t="s">
        <v>984</v>
      </c>
      <c r="B7" s="344" t="str">
        <f>HYPERLINK("http://www.spoj.com/problems/PERIOD/","SPOJ PERIOD")</f>
        <v>SPOJ PERIOD</v>
      </c>
      <c r="C7" s="185"/>
      <c r="D7" s="185"/>
      <c r="E7" s="185"/>
      <c r="F7" s="185"/>
      <c r="G7" s="185"/>
      <c r="H7" s="186"/>
      <c r="I7" s="81">
        <f t="shared" si="1"/>
        <v>0</v>
      </c>
      <c r="J7" s="86"/>
      <c r="K7" s="80"/>
      <c r="M7" s="110"/>
    </row>
    <row r="8">
      <c r="A8" s="343" t="s">
        <v>985</v>
      </c>
      <c r="B8" s="344" t="str">
        <f>HYPERLINK("http://codeforces.com/contest/432/problem/D","CF432-D2-D")</f>
        <v>CF432-D2-D</v>
      </c>
      <c r="C8" s="185"/>
      <c r="D8" s="185"/>
      <c r="E8" s="185"/>
      <c r="F8" s="185"/>
      <c r="G8" s="185"/>
      <c r="H8" s="186"/>
      <c r="I8" s="81">
        <f t="shared" si="1"/>
        <v>0</v>
      </c>
      <c r="J8" s="86"/>
      <c r="K8" s="80"/>
      <c r="L8" s="50"/>
      <c r="M8" s="110"/>
    </row>
    <row r="9">
      <c r="A9" s="343" t="s">
        <v>986</v>
      </c>
      <c r="B9" s="344" t="str">
        <f>HYPERLINK("http://codeforces.com/contest/535/problem/D","CF535-D2-D")</f>
        <v>CF535-D2-D</v>
      </c>
      <c r="C9" s="185"/>
      <c r="D9" s="185"/>
      <c r="E9" s="185"/>
      <c r="F9" s="185"/>
      <c r="G9" s="185"/>
      <c r="H9" s="186"/>
      <c r="I9" s="81">
        <f t="shared" si="1"/>
        <v>0</v>
      </c>
      <c r="J9" s="86"/>
      <c r="K9" s="80"/>
      <c r="L9" s="50"/>
      <c r="M9" s="110"/>
    </row>
    <row r="10">
      <c r="A10" s="346" t="s">
        <v>987</v>
      </c>
      <c r="B10" s="347" t="str">
        <f>HYPERLINK("https://uva.onlinejudge.org/index.php?option=onlinejudge&amp;page=show_problem&amp;problem=2096","UVA 11155")</f>
        <v>UVA 11155</v>
      </c>
      <c r="C10" s="185"/>
      <c r="D10" s="185"/>
      <c r="E10" s="185"/>
      <c r="F10" s="185"/>
      <c r="G10" s="185"/>
      <c r="H10" s="186"/>
      <c r="I10" s="81">
        <f t="shared" si="1"/>
        <v>0</v>
      </c>
      <c r="J10" s="86"/>
      <c r="K10" s="80"/>
      <c r="L10" s="50"/>
      <c r="M10" s="110"/>
    </row>
    <row r="11">
      <c r="A11" s="346" t="s">
        <v>988</v>
      </c>
      <c r="B11" s="347" t="str">
        <f>HYPERLINK("http://www.spoj.com/problems/PT07X/","SPOJ PT07X")</f>
        <v>SPOJ PT07X</v>
      </c>
      <c r="C11" s="185"/>
      <c r="D11" s="185"/>
      <c r="E11" s="185"/>
      <c r="F11" s="185"/>
      <c r="G11" s="185"/>
      <c r="H11" s="186"/>
      <c r="I11" s="81">
        <f t="shared" si="1"/>
        <v>0</v>
      </c>
      <c r="J11" s="86"/>
      <c r="K11" s="80"/>
      <c r="L11" s="50"/>
      <c r="M11" s="238" t="str">
        <f>HYPERLINK("https://github.com/abdullaAshraf/Problem-Solving/blob/master/SPOJ/PT07X.cpp","Sol")</f>
        <v>Sol</v>
      </c>
    </row>
    <row r="12">
      <c r="A12" s="319" t="s">
        <v>989</v>
      </c>
      <c r="B12" s="309" t="str">
        <f>HYPERLINK("http://codeforces.com/contest/54/problem/C","CF54-D12-C")</f>
        <v>CF54-D12-C</v>
      </c>
      <c r="C12" s="185"/>
      <c r="D12" s="185"/>
      <c r="E12" s="185"/>
      <c r="F12" s="185"/>
      <c r="G12" s="185"/>
      <c r="H12" s="186"/>
      <c r="I12" s="81">
        <f t="shared" si="1"/>
        <v>0</v>
      </c>
      <c r="J12" s="117"/>
      <c r="K12" s="116"/>
      <c r="L12" s="50"/>
      <c r="M12" s="87"/>
    </row>
    <row r="13">
      <c r="A13" s="319"/>
      <c r="B13" s="320" t="str">
        <f>HYPERLINK("http://codeforces.com/contest/500/problem/D","CF500-D12-D")</f>
        <v>CF500-D12-D</v>
      </c>
      <c r="C13" s="185"/>
      <c r="D13" s="185"/>
      <c r="E13" s="185"/>
      <c r="F13" s="185"/>
      <c r="G13" s="185"/>
      <c r="H13" s="186"/>
      <c r="I13" s="81">
        <f t="shared" si="1"/>
        <v>0</v>
      </c>
      <c r="J13" s="117"/>
      <c r="K13" s="116"/>
      <c r="L13" s="50"/>
      <c r="M13" s="87"/>
    </row>
    <row r="14">
      <c r="A14" s="319"/>
      <c r="B14" s="320" t="str">
        <f>HYPERLINK("https://www.hackerrank.com/challenges/vertical-sticks","HACKR vertical-sticks")</f>
        <v>HACKR vertical-sticks</v>
      </c>
      <c r="C14" s="185"/>
      <c r="D14" s="185"/>
      <c r="E14" s="185"/>
      <c r="F14" s="185"/>
      <c r="G14" s="185"/>
      <c r="H14" s="186"/>
      <c r="I14" s="81">
        <f t="shared" si="1"/>
        <v>0</v>
      </c>
      <c r="J14" s="117"/>
      <c r="K14" s="116"/>
      <c r="L14" s="50"/>
      <c r="M14" s="87"/>
    </row>
    <row r="15">
      <c r="A15" s="319"/>
      <c r="B15" s="247" t="s">
        <v>990</v>
      </c>
      <c r="C15" s="185"/>
      <c r="D15" s="185"/>
      <c r="E15" s="185"/>
      <c r="F15" s="185"/>
      <c r="G15" s="185"/>
      <c r="H15" s="186"/>
      <c r="I15" s="81">
        <f t="shared" si="1"/>
        <v>0</v>
      </c>
      <c r="J15" s="117"/>
      <c r="K15" s="116"/>
      <c r="L15" s="50"/>
      <c r="M15" s="87"/>
    </row>
    <row r="16">
      <c r="A16" s="319"/>
      <c r="B16" s="247" t="s">
        <v>991</v>
      </c>
      <c r="C16" s="185"/>
      <c r="D16" s="185"/>
      <c r="E16" s="185"/>
      <c r="F16" s="185"/>
      <c r="G16" s="185"/>
      <c r="H16" s="186"/>
      <c r="I16" s="81">
        <f t="shared" si="1"/>
        <v>0</v>
      </c>
      <c r="J16" s="117"/>
      <c r="K16" s="116"/>
      <c r="L16" s="50"/>
      <c r="M16" s="238" t="str">
        <f>HYPERLINK("https://github.com/mostafa-saad/MyCompetitiveProgramming/blob/master/UVA/UVA_1333.txt","Sol - Text/Background Clarification")</f>
        <v>Sol - Text/Background Clarification</v>
      </c>
    </row>
    <row r="17">
      <c r="A17" s="319"/>
      <c r="B17" s="248" t="str">
        <f>HYPERLINK("http://codeforces.com/contest/842/problem/D","CF842-D2-D")</f>
        <v>CF842-D2-D</v>
      </c>
      <c r="C17" s="185"/>
      <c r="D17" s="185"/>
      <c r="E17" s="185"/>
      <c r="F17" s="185"/>
      <c r="G17" s="185"/>
      <c r="H17" s="186"/>
      <c r="I17" s="81">
        <f t="shared" si="1"/>
        <v>0</v>
      </c>
      <c r="J17" s="117"/>
      <c r="K17" s="116"/>
      <c r="L17" s="50"/>
      <c r="M17" s="87"/>
    </row>
    <row r="18">
      <c r="A18" s="319"/>
      <c r="B18" s="248" t="str">
        <f>HYPERLINK("http://codeforces.com/contest/709/problem/D","CF709-D2-D")</f>
        <v>CF709-D2-D</v>
      </c>
      <c r="C18" s="185"/>
      <c r="D18" s="185"/>
      <c r="E18" s="185"/>
      <c r="F18" s="185"/>
      <c r="G18" s="185"/>
      <c r="H18" s="186"/>
      <c r="I18" s="81">
        <f t="shared" si="1"/>
        <v>0</v>
      </c>
      <c r="J18" s="117"/>
      <c r="K18" s="116"/>
      <c r="L18" s="50"/>
      <c r="M18" s="87"/>
    </row>
    <row r="19">
      <c r="A19" s="319"/>
      <c r="B19" s="247" t="s">
        <v>992</v>
      </c>
      <c r="C19" s="185"/>
      <c r="D19" s="185"/>
      <c r="E19" s="185"/>
      <c r="F19" s="185"/>
      <c r="G19" s="185"/>
      <c r="H19" s="186"/>
      <c r="I19" s="81">
        <f t="shared" si="1"/>
        <v>0</v>
      </c>
      <c r="J19" s="117"/>
      <c r="K19" s="116"/>
      <c r="L19" s="50"/>
      <c r="M19" s="238" t="str">
        <f>HYPERLINK("https://github.com/mostafa-saad/MyCompetitiveProgramming/blob/master/SPOJ/SPOJ_MSKYCODE.txt","Sol")</f>
        <v>Sol</v>
      </c>
    </row>
    <row r="20">
      <c r="A20" s="319"/>
      <c r="B20" s="247" t="s">
        <v>993</v>
      </c>
      <c r="C20" s="185"/>
      <c r="D20" s="185"/>
      <c r="E20" s="185"/>
      <c r="F20" s="185"/>
      <c r="G20" s="185"/>
      <c r="H20" s="186"/>
      <c r="I20" s="81">
        <f t="shared" si="1"/>
        <v>0</v>
      </c>
      <c r="J20" s="117"/>
      <c r="K20" s="116"/>
      <c r="L20" s="50"/>
      <c r="M20" s="238" t="str">
        <f>HYPERLINK("https://github.com/ahmed-osama-iv/CompetitiveProgramming/blob/master/LiveArchive/8015.cpp","Sol")</f>
        <v>Sol</v>
      </c>
    </row>
    <row r="21">
      <c r="A21" s="192"/>
      <c r="B21" s="293"/>
      <c r="C21" s="185"/>
      <c r="D21" s="185"/>
      <c r="E21" s="185"/>
      <c r="F21" s="185"/>
      <c r="G21" s="185"/>
      <c r="H21" s="186"/>
      <c r="I21" s="81">
        <f t="shared" si="1"/>
        <v>0</v>
      </c>
      <c r="J21" s="86"/>
      <c r="K21" s="80"/>
      <c r="L21" s="50"/>
      <c r="M21" s="87"/>
    </row>
    <row r="22">
      <c r="A22" s="192" t="s">
        <v>994</v>
      </c>
      <c r="B22" s="202" t="str">
        <f>HYPERLINK("http://codeforces.com/contest/672/problem/D","CF672-D2-D")</f>
        <v>CF672-D2-D</v>
      </c>
      <c r="C22" s="185"/>
      <c r="D22" s="185"/>
      <c r="E22" s="185"/>
      <c r="F22" s="185"/>
      <c r="G22" s="185"/>
      <c r="H22" s="186"/>
      <c r="I22" s="81">
        <f t="shared" si="1"/>
        <v>0</v>
      </c>
      <c r="J22" s="86"/>
      <c r="K22" s="80"/>
      <c r="L22" s="50"/>
      <c r="M22" s="87"/>
    </row>
    <row r="23">
      <c r="A23" s="192" t="s">
        <v>995</v>
      </c>
      <c r="B23" s="202" t="str">
        <f>HYPERLINK("http://codeforces.com/contest/94/problem/D","CF94-D2-D")</f>
        <v>CF94-D2-D</v>
      </c>
      <c r="C23" s="185"/>
      <c r="D23" s="185"/>
      <c r="E23" s="185"/>
      <c r="F23" s="185"/>
      <c r="G23" s="185"/>
      <c r="H23" s="186"/>
      <c r="I23" s="81">
        <f t="shared" si="1"/>
        <v>0</v>
      </c>
      <c r="J23" s="86"/>
      <c r="K23" s="80"/>
      <c r="L23" s="50"/>
      <c r="M23" s="87"/>
    </row>
    <row r="24">
      <c r="A24" s="192" t="s">
        <v>996</v>
      </c>
      <c r="B24" s="202" t="str">
        <f>HYPERLINK("http://codeforces.com/contest/560/problem/D","CF560-D2-D")</f>
        <v>CF560-D2-D</v>
      </c>
      <c r="C24" s="185"/>
      <c r="D24" s="185"/>
      <c r="E24" s="185"/>
      <c r="F24" s="185"/>
      <c r="G24" s="185"/>
      <c r="H24" s="186"/>
      <c r="I24" s="81">
        <f t="shared" si="1"/>
        <v>0</v>
      </c>
      <c r="J24" s="86"/>
      <c r="K24" s="80"/>
      <c r="M24" s="238" t="str">
        <f>HYPERLINK("https://github.com/VAMPIER000001/CompetitiveProgramming/blob/6ffe2c80fe5aba2bf2d901503b96f1b90053462a/CF/CF560-D2-D(2).Cpp","Sol to learn")</f>
        <v>Sol to learn</v>
      </c>
    </row>
    <row r="25">
      <c r="A25" s="192" t="s">
        <v>997</v>
      </c>
      <c r="B25" s="202" t="str">
        <f>HYPERLINK("http://codeforces.com/contest/451/problem/D","CF451-D2-D")</f>
        <v>CF451-D2-D</v>
      </c>
      <c r="C25" s="185"/>
      <c r="D25" s="185"/>
      <c r="E25" s="185"/>
      <c r="F25" s="185"/>
      <c r="G25" s="185"/>
      <c r="H25" s="186"/>
      <c r="I25" s="81">
        <f t="shared" si="1"/>
        <v>0</v>
      </c>
      <c r="J25" s="86"/>
      <c r="K25" s="80"/>
      <c r="L25" s="50"/>
      <c r="M25" s="110"/>
    </row>
    <row r="26">
      <c r="A26" s="192" t="s">
        <v>998</v>
      </c>
      <c r="B26" s="202" t="str">
        <f>HYPERLINK("http://codeforces.com/contest/186/problem/D","CF186-D2-D")</f>
        <v>CF186-D2-D</v>
      </c>
      <c r="C26" s="185"/>
      <c r="D26" s="185"/>
      <c r="E26" s="185"/>
      <c r="F26" s="185"/>
      <c r="G26" s="185"/>
      <c r="H26" s="186"/>
      <c r="I26" s="81">
        <f t="shared" si="1"/>
        <v>0</v>
      </c>
      <c r="J26" s="86"/>
      <c r="K26" s="80"/>
      <c r="L26" s="50"/>
      <c r="M26" s="110"/>
    </row>
    <row r="27">
      <c r="A27" s="192" t="s">
        <v>999</v>
      </c>
      <c r="B27" s="202" t="str">
        <f>HYPERLINK("http://codeforces.com/contest/195/problem/D","CF195-D2-D")</f>
        <v>CF195-D2-D</v>
      </c>
      <c r="C27" s="185"/>
      <c r="D27" s="185"/>
      <c r="E27" s="185"/>
      <c r="F27" s="185"/>
      <c r="G27" s="185"/>
      <c r="H27" s="186"/>
      <c r="I27" s="81">
        <f t="shared" si="1"/>
        <v>0</v>
      </c>
      <c r="J27" s="86"/>
      <c r="K27" s="80"/>
      <c r="L27" s="50"/>
      <c r="M27" s="110"/>
    </row>
    <row r="28">
      <c r="A28" s="192"/>
      <c r="B28" s="202" t="str">
        <f>HYPERLINK("http://codeforces.com/contest/1023/problem/E","CF1023-D12-E")</f>
        <v>CF1023-D12-E</v>
      </c>
      <c r="C28" s="185"/>
      <c r="D28" s="185"/>
      <c r="E28" s="185"/>
      <c r="F28" s="185"/>
      <c r="G28" s="185"/>
      <c r="H28" s="186"/>
      <c r="I28" s="81">
        <f t="shared" si="1"/>
        <v>0</v>
      </c>
      <c r="J28" s="86"/>
      <c r="K28" s="80"/>
      <c r="L28" s="50"/>
      <c r="M28" s="110"/>
    </row>
    <row r="29">
      <c r="A29" s="192"/>
      <c r="B29" s="202" t="str">
        <f>HYPERLINK("https://codeforces.com/contest/1060/problem/C","CF1060-D12-C")</f>
        <v>CF1060-D12-C</v>
      </c>
      <c r="C29" s="185"/>
      <c r="D29" s="185"/>
      <c r="E29" s="185"/>
      <c r="F29" s="185"/>
      <c r="G29" s="185"/>
      <c r="H29" s="186"/>
      <c r="I29" s="81">
        <f t="shared" si="1"/>
        <v>0</v>
      </c>
      <c r="J29" s="86"/>
      <c r="K29" s="80"/>
      <c r="L29" s="50"/>
      <c r="M29" s="110"/>
    </row>
    <row r="30">
      <c r="A30" s="242" t="s">
        <v>1000</v>
      </c>
      <c r="B30" s="288" t="str">
        <f>HYPERLINK("http://codeforces.com/contest/680/problem/C","CF680-D2-C")</f>
        <v>CF680-D2-C</v>
      </c>
      <c r="C30" s="185"/>
      <c r="D30" s="185"/>
      <c r="E30" s="185"/>
      <c r="F30" s="185"/>
      <c r="G30" s="185"/>
      <c r="H30" s="186"/>
      <c r="I30" s="81">
        <f t="shared" si="1"/>
        <v>0</v>
      </c>
      <c r="J30" s="117"/>
      <c r="K30" s="116"/>
      <c r="L30" s="50"/>
      <c r="M30" s="50"/>
    </row>
    <row r="31">
      <c r="A31" s="242" t="s">
        <v>186</v>
      </c>
      <c r="B31" s="288" t="str">
        <f>HYPERLINK("http://codeforces.com/contest/401/problem/C","CF401-D2-C")</f>
        <v>CF401-D2-C</v>
      </c>
      <c r="C31" s="185"/>
      <c r="D31" s="185"/>
      <c r="E31" s="185"/>
      <c r="F31" s="185"/>
      <c r="G31" s="185"/>
      <c r="H31" s="186"/>
      <c r="I31" s="81">
        <f t="shared" si="1"/>
        <v>0</v>
      </c>
      <c r="J31" s="117"/>
      <c r="K31" s="116"/>
      <c r="L31" s="50"/>
      <c r="M31" s="50"/>
    </row>
    <row r="32">
      <c r="A32" s="192"/>
      <c r="B32" s="293"/>
      <c r="C32" s="185"/>
      <c r="D32" s="185"/>
      <c r="E32" s="185"/>
      <c r="F32" s="185"/>
      <c r="G32" s="185"/>
      <c r="H32" s="186"/>
      <c r="I32" s="81">
        <f t="shared" si="1"/>
        <v>0</v>
      </c>
      <c r="J32" s="86"/>
      <c r="K32" s="80"/>
      <c r="L32" s="50"/>
      <c r="M32" s="290" t="str">
        <f>HYPERLINK("https://www.youtube.com/watch?v=X-cMRvuTGuM&amp;list=PLPt2dINI2MIattDutu7IOAMlUuLeN8k2p&amp;index=19","DP - Games (2 vid)")</f>
        <v>DP - Games (2 vid)</v>
      </c>
    </row>
    <row r="33">
      <c r="A33" s="348" t="s">
        <v>1001</v>
      </c>
      <c r="B33" s="344" t="str">
        <f>HYPERLINK("https://uva.onlinejudge.org/index.php?option=com_onlinejudge&amp;Itemid=8&amp;page=show_problem&amp;problem=1345","UVA 10404")</f>
        <v>UVA 10404</v>
      </c>
      <c r="C33" s="185"/>
      <c r="D33" s="185"/>
      <c r="E33" s="185"/>
      <c r="F33" s="185"/>
      <c r="G33" s="185"/>
      <c r="H33" s="186"/>
      <c r="I33" s="81">
        <f t="shared" si="1"/>
        <v>0</v>
      </c>
      <c r="J33" s="86"/>
      <c r="K33" s="80"/>
      <c r="L33" s="50"/>
      <c r="M33" s="238" t="str">
        <f>HYPERLINK("https://github.com/VAMPIER000001/CompetitiveProgramming/blob/58946d0dcba06adfc2c5ec0b423546a6a0c6da9c/UVA/V-104/UVA%2010404.Cpp","Sol")</f>
        <v>Sol</v>
      </c>
    </row>
    <row r="34">
      <c r="A34" s="349" t="str">
        <f>HYPERLINK("https://community.topcoder.com/stat?c=problem_statement&amp;pm=11791&amp;rd=14727","EllysCheckers")</f>
        <v>EllysCheckers</v>
      </c>
      <c r="B34" s="350" t="s">
        <v>1002</v>
      </c>
      <c r="C34" s="185"/>
      <c r="D34" s="185"/>
      <c r="E34" s="185"/>
      <c r="F34" s="185"/>
      <c r="G34" s="185"/>
      <c r="H34" s="186"/>
      <c r="I34" s="81">
        <f t="shared" si="1"/>
        <v>0</v>
      </c>
      <c r="J34" s="86"/>
      <c r="K34" s="80"/>
      <c r="L34" s="50"/>
      <c r="M34" s="110"/>
    </row>
    <row r="35">
      <c r="A35" s="351" t="str">
        <f>HYPERLINK("https://community.topcoder.com/stat?c=problem_statement&amp;pm=11566&amp;rd=14547","RowAndCoins")</f>
        <v>RowAndCoins</v>
      </c>
      <c r="B35" s="352" t="s">
        <v>1003</v>
      </c>
      <c r="C35" s="185"/>
      <c r="D35" s="185"/>
      <c r="E35" s="185"/>
      <c r="F35" s="185"/>
      <c r="G35" s="185"/>
      <c r="H35" s="186"/>
      <c r="I35" s="81">
        <f t="shared" si="1"/>
        <v>0</v>
      </c>
      <c r="J35" s="86"/>
      <c r="K35" s="80"/>
      <c r="L35" s="50"/>
      <c r="M35" s="110"/>
    </row>
    <row r="36">
      <c r="A36" s="351" t="str">
        <f>HYPERLINK("https://community.topcoder.com/stat?c=problem_statement&amp;pm=3491&amp;rd=6517","BagsOfGold")</f>
        <v>BagsOfGold</v>
      </c>
      <c r="B36" s="352" t="s">
        <v>1004</v>
      </c>
      <c r="C36" s="185"/>
      <c r="D36" s="185"/>
      <c r="E36" s="185"/>
      <c r="F36" s="185"/>
      <c r="G36" s="185"/>
      <c r="H36" s="186"/>
      <c r="I36" s="81">
        <f t="shared" si="1"/>
        <v>0</v>
      </c>
      <c r="J36" s="86"/>
      <c r="K36" s="80"/>
      <c r="L36" s="50"/>
      <c r="M36" s="110"/>
    </row>
    <row r="37">
      <c r="A37" s="353" t="s">
        <v>1005</v>
      </c>
      <c r="B37" s="354" t="str">
        <f>HYPERLINK("http://codeforces.com/contest/148/problem/D","CF148-D2-D")</f>
        <v>CF148-D2-D</v>
      </c>
      <c r="C37" s="185"/>
      <c r="D37" s="185"/>
      <c r="E37" s="185"/>
      <c r="F37" s="185"/>
      <c r="G37" s="185"/>
      <c r="H37" s="186"/>
      <c r="I37" s="81">
        <f t="shared" si="1"/>
        <v>0</v>
      </c>
      <c r="J37" s="117"/>
      <c r="K37" s="116"/>
      <c r="L37" s="50"/>
      <c r="M37" s="50"/>
    </row>
    <row r="38">
      <c r="A38" s="346"/>
      <c r="B38" s="347" t="str">
        <f>HYPERLINK("https://codeforces.com/contest/1147/problem/B" , "CF1147-D1-B")</f>
        <v>CF1147-D1-B</v>
      </c>
      <c r="C38" s="185"/>
      <c r="D38" s="185"/>
      <c r="E38" s="185"/>
      <c r="F38" s="185"/>
      <c r="G38" s="185"/>
      <c r="H38" s="186"/>
      <c r="I38" s="81">
        <f t="shared" si="1"/>
        <v>0</v>
      </c>
      <c r="J38" s="86"/>
      <c r="K38" s="80"/>
      <c r="L38" s="50"/>
      <c r="M38" s="87"/>
    </row>
    <row r="39">
      <c r="A39" s="346" t="s">
        <v>1006</v>
      </c>
      <c r="B39" s="347" t="str">
        <f>HYPERLINK("http://www.spoj.com/problems/MELE3/","SPOJ MELE3")</f>
        <v>SPOJ MELE3</v>
      </c>
      <c r="C39" s="185"/>
      <c r="D39" s="185"/>
      <c r="E39" s="185"/>
      <c r="F39" s="185"/>
      <c r="G39" s="185"/>
      <c r="H39" s="186"/>
      <c r="I39" s="81">
        <f t="shared" si="1"/>
        <v>0</v>
      </c>
      <c r="J39" s="86"/>
      <c r="K39" s="80"/>
      <c r="L39" s="50"/>
      <c r="M39" s="238" t="str">
        <f>HYPERLINK("https://github.com/VAMPIER000001/CompetitiveProgramming/blob/a5d714fa4de45e50f87306d421ec6c3c02026f76/Spoj/SPOJ%20MELE3.Cpp","Sol")</f>
        <v>Sol</v>
      </c>
    </row>
    <row r="40">
      <c r="A40" s="346" t="s">
        <v>1007</v>
      </c>
      <c r="B40" s="347" t="str">
        <f>HYPERLINK("http://www.spoj.com/problems/ROADS/en/","SPOJ ROADS")</f>
        <v>SPOJ ROADS</v>
      </c>
      <c r="C40" s="185"/>
      <c r="D40" s="185"/>
      <c r="E40" s="185"/>
      <c r="F40" s="185"/>
      <c r="G40" s="185"/>
      <c r="H40" s="186"/>
      <c r="I40" s="81">
        <f t="shared" si="1"/>
        <v>0</v>
      </c>
      <c r="J40" s="86"/>
      <c r="K40" s="80"/>
      <c r="L40" s="50"/>
      <c r="M40" s="238" t="str">
        <f>HYPERLINK("https://github.com/mostafa-saad/MyCompetitiveProgramming/blob/master/SPOJ/SPOJ_ROADS.txt","Sol")</f>
        <v>Sol</v>
      </c>
    </row>
    <row r="41">
      <c r="A41" s="346" t="s">
        <v>1008</v>
      </c>
      <c r="B41" s="347" t="str">
        <f>HYPERLINK("https://uva.onlinejudge.org/index.php?option=onlinejudge&amp;page=show_problem&amp;problem=1400","UVA 10459")</f>
        <v>UVA 10459</v>
      </c>
      <c r="C41" s="185"/>
      <c r="D41" s="185"/>
      <c r="E41" s="185"/>
      <c r="F41" s="185"/>
      <c r="G41" s="185"/>
      <c r="H41" s="186"/>
      <c r="I41" s="81">
        <f t="shared" si="1"/>
        <v>0</v>
      </c>
      <c r="J41" s="86"/>
      <c r="K41" s="80"/>
      <c r="L41" s="50"/>
      <c r="M41" s="238" t="str">
        <f>HYPERLINK("https://github.com/VAMPIER000001/CompetitiveProgramming/blob/master/UVA/V-104/UVA%2010459.Cpp","Sol")</f>
        <v>Sol</v>
      </c>
    </row>
    <row r="42">
      <c r="A42" s="346" t="s">
        <v>1009</v>
      </c>
      <c r="B42" s="347" t="str">
        <f>HYPERLINK("https://uva.onlinejudge.org/index.php?option=com_onlinejudge&amp;Itemid=8&amp;page=show_problem&amp;problem=3673","UVA 1232")</f>
        <v>UVA 1232</v>
      </c>
      <c r="C42" s="185"/>
      <c r="D42" s="185"/>
      <c r="E42" s="185"/>
      <c r="F42" s="185"/>
      <c r="G42" s="185"/>
      <c r="H42" s="186"/>
      <c r="I42" s="81">
        <f t="shared" si="1"/>
        <v>0</v>
      </c>
      <c r="J42" s="117"/>
      <c r="K42" s="116"/>
      <c r="M42" s="238" t="str">
        <f>HYPERLINK("https://github.com/mostafa-saad/MyCompetitiveProgramming/blob/master/UVA/UVA_1232.txt","Sol")</f>
        <v>Sol</v>
      </c>
    </row>
    <row r="43">
      <c r="A43" s="291" t="s">
        <v>1010</v>
      </c>
      <c r="B43" s="355" t="str">
        <f>HYPERLINK("http://www.spoj.com/problems/ORDERS/","SPOJ ORDERS")</f>
        <v>SPOJ ORDERS</v>
      </c>
      <c r="C43" s="185"/>
      <c r="D43" s="185"/>
      <c r="E43" s="185"/>
      <c r="F43" s="185"/>
      <c r="G43" s="185"/>
      <c r="H43" s="186"/>
      <c r="I43" s="81">
        <f t="shared" si="1"/>
        <v>0</v>
      </c>
      <c r="J43" s="117"/>
      <c r="K43" s="116"/>
      <c r="M43" s="238" t="str">
        <f>HYPERLINK("https://github.com/mostafa-saad/MyCompetitiveProgramming/blob/master/SPOJ/SPOJ_ORDERS.txt","Sol")</f>
        <v>Sol</v>
      </c>
    </row>
    <row r="44">
      <c r="A44" s="356" t="s">
        <v>1011</v>
      </c>
      <c r="B44" s="357" t="str">
        <f>HYPERLINK("http://codeforces.com/contest/268/problem/E","CF268-D2-E")</f>
        <v>CF268-D2-E</v>
      </c>
      <c r="C44" s="185"/>
      <c r="D44" s="185"/>
      <c r="E44" s="185"/>
      <c r="F44" s="185"/>
      <c r="G44" s="185"/>
      <c r="H44" s="186"/>
      <c r="I44" s="81">
        <f t="shared" si="1"/>
        <v>0</v>
      </c>
      <c r="J44" s="117"/>
      <c r="K44" s="116"/>
      <c r="M44" s="238" t="str">
        <f>HYPERLINK("https://github.com/3agwa/CompetitiveProgramming/blob/master/CodeForces/CF268-D2-E.cpp","Sol")</f>
        <v>Sol</v>
      </c>
    </row>
    <row r="45">
      <c r="A45" s="291"/>
      <c r="B45" s="285" t="s">
        <v>1012</v>
      </c>
      <c r="C45" s="185"/>
      <c r="D45" s="185"/>
      <c r="E45" s="185"/>
      <c r="F45" s="185"/>
      <c r="G45" s="185"/>
      <c r="H45" s="186"/>
      <c r="I45" s="81">
        <f t="shared" si="1"/>
        <v>0</v>
      </c>
      <c r="J45" s="117"/>
      <c r="K45" s="116"/>
      <c r="L45" s="50"/>
      <c r="M45" s="87"/>
    </row>
    <row r="46">
      <c r="A46" s="192"/>
      <c r="B46" s="293"/>
      <c r="C46" s="185"/>
      <c r="D46" s="185"/>
      <c r="E46" s="185"/>
      <c r="F46" s="185"/>
      <c r="G46" s="185"/>
      <c r="H46" s="186"/>
      <c r="I46" s="81">
        <f t="shared" si="1"/>
        <v>0</v>
      </c>
      <c r="J46" s="86"/>
      <c r="K46" s="80"/>
      <c r="L46" s="50"/>
      <c r="M46" s="110"/>
    </row>
    <row r="47">
      <c r="A47" s="110" t="s">
        <v>1013</v>
      </c>
      <c r="B47" s="358" t="str">
        <f>HYPERLINK("http://codeforces.com/contest/276/problem/D","CF276-D2-D")</f>
        <v>CF276-D2-D</v>
      </c>
      <c r="C47" s="185"/>
      <c r="D47" s="185"/>
      <c r="E47" s="185"/>
      <c r="F47" s="185"/>
      <c r="G47" s="185"/>
      <c r="H47" s="186"/>
      <c r="I47" s="81">
        <f t="shared" si="1"/>
        <v>0</v>
      </c>
      <c r="J47" s="47"/>
      <c r="K47" s="50"/>
      <c r="M47" s="359" t="str">
        <f>HYPERLINK("http://codeforces.com/blog/entry/6779","See editorials")</f>
        <v>See editorials</v>
      </c>
    </row>
    <row r="48">
      <c r="A48" s="192" t="s">
        <v>1014</v>
      </c>
      <c r="B48" s="358" t="str">
        <f>HYPERLINK("http://codeforces.com/contest/224/problem/D","CF224-D2-D")</f>
        <v>CF224-D2-D</v>
      </c>
      <c r="C48" s="185"/>
      <c r="D48" s="185"/>
      <c r="E48" s="185"/>
      <c r="F48" s="185"/>
      <c r="G48" s="185"/>
      <c r="H48" s="186"/>
      <c r="I48" s="81">
        <f t="shared" si="1"/>
        <v>0</v>
      </c>
      <c r="J48" s="86"/>
      <c r="K48" s="80"/>
      <c r="L48" s="50"/>
      <c r="M48" s="238" t="str">
        <f>HYPERLINK("https://github.com/abdullaAshraf/Problem-Solving/blob/master/CodeForces/CF224-D2-D.cpp","Sol")</f>
        <v>Sol</v>
      </c>
    </row>
    <row r="49">
      <c r="A49" s="192" t="s">
        <v>1015</v>
      </c>
      <c r="B49" s="358" t="str">
        <f>HYPERLINK("http://codeforces.com/contest/75/problem/D","CF75-D2-D")</f>
        <v>CF75-D2-D</v>
      </c>
      <c r="C49" s="185"/>
      <c r="D49" s="185"/>
      <c r="E49" s="185"/>
      <c r="F49" s="185"/>
      <c r="G49" s="185"/>
      <c r="H49" s="186"/>
      <c r="I49" s="81">
        <f t="shared" si="1"/>
        <v>0</v>
      </c>
      <c r="J49" s="86"/>
      <c r="K49" s="80"/>
      <c r="L49" s="50"/>
    </row>
    <row r="50">
      <c r="A50" s="192"/>
      <c r="B50" s="293" t="s">
        <v>1016</v>
      </c>
      <c r="C50" s="185"/>
      <c r="D50" s="185"/>
      <c r="E50" s="185"/>
      <c r="F50" s="185"/>
      <c r="G50" s="185"/>
      <c r="H50" s="186"/>
      <c r="I50" s="81">
        <f t="shared" si="1"/>
        <v>0</v>
      </c>
      <c r="J50" s="86"/>
      <c r="K50" s="80"/>
      <c r="L50" s="50"/>
      <c r="M50" s="212" t="str">
        <f>HYPERLINK("https://github.com/MedoN11/CompetitiveProgramming/blob/master/SPOJ/BRCKTS2.cpp","Sol")</f>
        <v>Sol</v>
      </c>
    </row>
    <row r="51">
      <c r="A51" s="192"/>
      <c r="B51" s="358" t="str">
        <f>HYPERLINK("https://codeforces.com/contest/1057/problem/C","CF1057-D12-C")</f>
        <v>CF1057-D12-C</v>
      </c>
      <c r="C51" s="185"/>
      <c r="D51" s="185"/>
      <c r="E51" s="185"/>
      <c r="F51" s="185"/>
      <c r="G51" s="185"/>
      <c r="H51" s="186"/>
      <c r="I51" s="81">
        <f t="shared" si="1"/>
        <v>0</v>
      </c>
      <c r="J51" s="86"/>
      <c r="K51" s="80"/>
      <c r="L51" s="50"/>
    </row>
    <row r="52">
      <c r="A52" s="192"/>
      <c r="B52" s="358" t="str">
        <f>HYPERLINK("https://codeforces.com/contest/1066/problem/F","CF1066-D3-F")</f>
        <v>CF1066-D3-F</v>
      </c>
      <c r="C52" s="185"/>
      <c r="D52" s="185"/>
      <c r="E52" s="185"/>
      <c r="F52" s="185"/>
      <c r="G52" s="185"/>
      <c r="H52" s="186"/>
      <c r="I52" s="81">
        <f t="shared" si="1"/>
        <v>0</v>
      </c>
      <c r="J52" s="86"/>
      <c r="K52" s="80"/>
      <c r="L52" s="50"/>
    </row>
    <row r="53">
      <c r="A53" s="192"/>
      <c r="B53" s="358" t="str">
        <f>HYPERLINK("https://codeforces.com/contest/1064/problem/E","CF1064-D2-E")</f>
        <v>CF1064-D2-E</v>
      </c>
      <c r="C53" s="185"/>
      <c r="D53" s="185"/>
      <c r="E53" s="185"/>
      <c r="F53" s="185"/>
      <c r="G53" s="185"/>
      <c r="H53" s="186"/>
      <c r="I53" s="81">
        <f t="shared" si="1"/>
        <v>0</v>
      </c>
      <c r="J53" s="86"/>
      <c r="K53" s="80"/>
      <c r="L53" s="50"/>
    </row>
    <row r="54">
      <c r="A54" s="192"/>
      <c r="B54" s="358" t="str">
        <f>HYPERLINK("http://codeforces.com/contest/459/problem/E","CF459-D2-E")</f>
        <v>CF459-D2-E</v>
      </c>
      <c r="C54" s="185"/>
      <c r="D54" s="185"/>
      <c r="E54" s="185"/>
      <c r="F54" s="185"/>
      <c r="G54" s="185"/>
      <c r="H54" s="186"/>
      <c r="I54" s="81">
        <f t="shared" si="1"/>
        <v>0</v>
      </c>
      <c r="J54" s="86"/>
      <c r="K54" s="80"/>
      <c r="L54" s="50"/>
    </row>
    <row r="55">
      <c r="A55" s="192"/>
      <c r="B55" s="293" t="s">
        <v>1017</v>
      </c>
      <c r="C55" s="185"/>
      <c r="D55" s="185"/>
      <c r="E55" s="185"/>
      <c r="F55" s="185"/>
      <c r="G55" s="185"/>
      <c r="H55" s="186"/>
      <c r="I55" s="81">
        <f t="shared" si="1"/>
        <v>0</v>
      </c>
      <c r="J55" s="86"/>
      <c r="K55" s="80"/>
      <c r="L55" s="50"/>
    </row>
    <row r="56">
      <c r="A56" s="192"/>
      <c r="B56" s="358" t="str">
        <f>HYPERLINK("http://codeforces.com/contest/1043/problem/D","CF1043-D12-D")</f>
        <v>CF1043-D12-D</v>
      </c>
      <c r="C56" s="185"/>
      <c r="D56" s="185"/>
      <c r="E56" s="185"/>
      <c r="F56" s="185"/>
      <c r="G56" s="185"/>
      <c r="H56" s="186"/>
      <c r="I56" s="81">
        <f t="shared" si="1"/>
        <v>0</v>
      </c>
      <c r="J56" s="86"/>
      <c r="K56" s="80"/>
      <c r="L56" s="50"/>
    </row>
    <row r="57">
      <c r="A57" s="242" t="s">
        <v>1018</v>
      </c>
      <c r="B57" s="288" t="str">
        <f>HYPERLINK("http://codeforces.com/contest/200/problem/C","CF200-D2-C")</f>
        <v>CF200-D2-C</v>
      </c>
      <c r="C57" s="185"/>
      <c r="D57" s="185"/>
      <c r="E57" s="185"/>
      <c r="F57" s="185"/>
      <c r="G57" s="185"/>
      <c r="H57" s="186"/>
      <c r="I57" s="81">
        <f t="shared" si="1"/>
        <v>0</v>
      </c>
      <c r="J57" s="86"/>
      <c r="K57" s="80"/>
      <c r="L57" s="50"/>
      <c r="M57" s="110"/>
    </row>
    <row r="58">
      <c r="A58" s="242" t="s">
        <v>1019</v>
      </c>
      <c r="B58" s="288" t="str">
        <f>HYPERLINK("http://codeforces.com/contest/489/problem/C","CF489-D2-C")</f>
        <v>CF489-D2-C</v>
      </c>
      <c r="C58" s="185"/>
      <c r="D58" s="185"/>
      <c r="E58" s="185"/>
      <c r="F58" s="185"/>
      <c r="G58" s="185"/>
      <c r="H58" s="186"/>
      <c r="I58" s="81">
        <f t="shared" si="1"/>
        <v>0</v>
      </c>
      <c r="J58" s="86"/>
      <c r="K58" s="80"/>
      <c r="L58" s="50"/>
      <c r="M58" s="110"/>
    </row>
    <row r="59">
      <c r="A59" s="192"/>
      <c r="B59" s="293"/>
      <c r="C59" s="185"/>
      <c r="D59" s="185"/>
      <c r="E59" s="185"/>
      <c r="F59" s="185"/>
      <c r="G59" s="185"/>
      <c r="H59" s="186"/>
      <c r="I59" s="81">
        <f t="shared" si="1"/>
        <v>0</v>
      </c>
      <c r="J59" s="86"/>
      <c r="K59" s="80"/>
      <c r="L59" s="50"/>
      <c r="M59" s="110"/>
    </row>
    <row r="60">
      <c r="A60" s="346" t="s">
        <v>1020</v>
      </c>
      <c r="B60" s="347" t="str">
        <f>HYPERLINK("https://uva.onlinejudge.org/index.php?option=onlinejudge&amp;page=show_problem&amp;problem=122","UVA 186")</f>
        <v>UVA 186</v>
      </c>
      <c r="C60" s="185"/>
      <c r="D60" s="185"/>
      <c r="E60" s="185"/>
      <c r="F60" s="185"/>
      <c r="G60" s="185"/>
      <c r="H60" s="186"/>
      <c r="I60" s="81">
        <f t="shared" si="1"/>
        <v>0</v>
      </c>
      <c r="J60" s="86"/>
      <c r="K60" s="80"/>
      <c r="L60" s="50"/>
      <c r="M60" s="238" t="str">
        <f>HYPERLINK("https://github.com/VAMPIER000001/CompetitiveProgramming/blob/master/UVA/V-1/UVA%20186.Cpp","Sol")</f>
        <v>Sol</v>
      </c>
    </row>
    <row r="61">
      <c r="A61" s="346" t="s">
        <v>1021</v>
      </c>
      <c r="B61" s="347" t="str">
        <f>HYPERLINK("https://uva.onlinejudge.org/index.php?option=onlinejudge&amp;page=show_problem&amp;problem=548","UVA 607")</f>
        <v>UVA 607</v>
      </c>
      <c r="C61" s="185"/>
      <c r="D61" s="185"/>
      <c r="E61" s="185"/>
      <c r="F61" s="185"/>
      <c r="G61" s="185"/>
      <c r="H61" s="186"/>
      <c r="I61" s="81">
        <f t="shared" si="1"/>
        <v>0</v>
      </c>
      <c r="J61" s="86"/>
      <c r="K61" s="80"/>
      <c r="M61" s="238" t="str">
        <f>HYPERLINK("https://github.com/MichaelMounir12/CompetitiveProgramming/blob/69c0dba2b0b29083ebad94dfd18be25dcf903235/UVA/UVA_607.cpp","Sol")</f>
        <v>Sol</v>
      </c>
    </row>
    <row r="62">
      <c r="A62" s="346" t="s">
        <v>1022</v>
      </c>
      <c r="B62" s="347" t="str">
        <f>HYPERLINK("http://www.spoj.com/problems/WEIRDFN/","SPOJ WEIRDFN")</f>
        <v>SPOJ WEIRDFN</v>
      </c>
      <c r="C62" s="185"/>
      <c r="D62" s="185"/>
      <c r="E62" s="185"/>
      <c r="F62" s="185"/>
      <c r="G62" s="185"/>
      <c r="H62" s="186"/>
      <c r="I62" s="81">
        <f t="shared" si="1"/>
        <v>0</v>
      </c>
      <c r="J62" s="86"/>
      <c r="K62" s="80"/>
      <c r="M62" s="238" t="str">
        <f>HYPERLINK("https://github.com/mostafa-saad/MyCompetitiveProgramming/blob/master/SPOJ/SPOJ_WEIRDFN.txt","Sol")</f>
        <v>Sol</v>
      </c>
    </row>
    <row r="63">
      <c r="A63" s="346" t="s">
        <v>1023</v>
      </c>
      <c r="B63" s="347" t="str">
        <f>HYPERLINK("https://uva.onlinejudge.org/index.php?option=com_onlinejudge&amp;Itemid=8&amp;page=show_problem&amp;problem=966","UVA 10025")</f>
        <v>UVA 10025</v>
      </c>
      <c r="C63" s="185"/>
      <c r="D63" s="185"/>
      <c r="E63" s="185"/>
      <c r="F63" s="185"/>
      <c r="G63" s="185"/>
      <c r="H63" s="186"/>
      <c r="I63" s="81">
        <f t="shared" si="1"/>
        <v>0</v>
      </c>
      <c r="J63" s="86"/>
      <c r="K63" s="80"/>
      <c r="L63" s="50"/>
      <c r="M63" s="87"/>
    </row>
    <row r="64">
      <c r="A64" s="346" t="s">
        <v>1024</v>
      </c>
      <c r="B64" s="347" t="str">
        <f>HYPERLINK("http://www.spoj.com/problems/DICTSUB/","SPOJ DICTSUB")</f>
        <v>SPOJ DICTSUB</v>
      </c>
      <c r="C64" s="185"/>
      <c r="D64" s="185"/>
      <c r="E64" s="185"/>
      <c r="F64" s="185"/>
      <c r="G64" s="185"/>
      <c r="H64" s="186"/>
      <c r="I64" s="81">
        <f t="shared" si="1"/>
        <v>0</v>
      </c>
      <c r="J64" s="86"/>
      <c r="K64" s="80"/>
      <c r="L64" s="50"/>
      <c r="M64" s="238" t="str">
        <f>HYPERLINK("https://github.com/VAMPIER000001/CompetitiveProgramming/blob/master/Spoj/SPOJ%20DICTSUB.Cpp","Sol")</f>
        <v>Sol</v>
      </c>
    </row>
    <row r="65">
      <c r="A65" s="346" t="s">
        <v>1025</v>
      </c>
      <c r="B65" s="347" t="str">
        <f>HYPERLINK("https://uva.onlinejudge.org/index.php?option=com_onlinejudge&amp;Itemid=8&amp;page=show_problem&amp;problem=999","UVA 10058")</f>
        <v>UVA 10058</v>
      </c>
      <c r="C65" s="185"/>
      <c r="D65" s="185"/>
      <c r="E65" s="185"/>
      <c r="F65" s="185"/>
      <c r="G65" s="185"/>
      <c r="H65" s="186"/>
      <c r="I65" s="81">
        <f t="shared" si="1"/>
        <v>0</v>
      </c>
      <c r="J65" s="86"/>
      <c r="K65" s="80"/>
      <c r="M65" s="238" t="str">
        <f>HYPERLINK("https://github.com/ackoroa/UVa-Solutions/blob/master/UVa%2010058%20-%20Jimmi's%20Riddles/src/Main.java","Sol")</f>
        <v>Sol</v>
      </c>
    </row>
    <row r="66">
      <c r="A66" s="291" t="s">
        <v>1026</v>
      </c>
      <c r="B66" s="355" t="str">
        <f>HYPERLINK("http://codeforces.com/contest/689/problem/D","CF689-D2-D")</f>
        <v>CF689-D2-D</v>
      </c>
      <c r="C66" s="185"/>
      <c r="D66" s="185"/>
      <c r="E66" s="185"/>
      <c r="F66" s="185"/>
      <c r="G66" s="185"/>
      <c r="H66" s="186"/>
      <c r="I66" s="81">
        <f t="shared" si="1"/>
        <v>0</v>
      </c>
      <c r="J66" s="47"/>
      <c r="K66" s="50"/>
      <c r="M66" s="87"/>
    </row>
    <row r="67">
      <c r="A67" s="346" t="s">
        <v>1027</v>
      </c>
      <c r="B67" s="347" t="str">
        <f>HYPERLINK("http://www.spoj.com/problems/SEGSQRSS","SPOJ SEGSQRSS")</f>
        <v>SPOJ SEGSQRSS</v>
      </c>
      <c r="C67" s="185"/>
      <c r="D67" s="185"/>
      <c r="E67" s="185"/>
      <c r="F67" s="185"/>
      <c r="G67" s="185"/>
      <c r="H67" s="186"/>
      <c r="I67" s="81">
        <f t="shared" si="1"/>
        <v>0</v>
      </c>
      <c r="J67" s="86"/>
      <c r="K67" s="80"/>
      <c r="M67" s="238" t="str">
        <f>HYPERLINK("https://github.com/MichaelMounir12/CompetitiveProgramming/blob/9c6e99fc3a2583209a313ddd617a07ac294024e9/SPOJ/SPOJ_SEGSQRSS.cpp","Sol")</f>
        <v>Sol</v>
      </c>
    </row>
    <row r="68">
      <c r="A68" s="346" t="s">
        <v>1028</v>
      </c>
      <c r="B68" s="347" t="str">
        <f>HYPERLINK("https://uva.onlinejudge.org/index.php?option=onlinejudge&amp;page=show_problem&amp;problem=1757","UVA 10816")</f>
        <v>UVA 10816</v>
      </c>
      <c r="C68" s="185"/>
      <c r="D68" s="185"/>
      <c r="E68" s="185"/>
      <c r="F68" s="185"/>
      <c r="G68" s="185"/>
      <c r="H68" s="186"/>
      <c r="I68" s="81">
        <f t="shared" si="1"/>
        <v>0</v>
      </c>
      <c r="J68" s="86"/>
      <c r="K68" s="80"/>
      <c r="M68" s="238" t="str">
        <f>HYPERLINK("https://github.com/VAMPIER000001/CompetitiveProgramming/blob/master/UVA/V-108/UVA%2010816.Cpp","Sol")</f>
        <v>Sol</v>
      </c>
    </row>
    <row r="69">
      <c r="A69" s="356" t="s">
        <v>1029</v>
      </c>
      <c r="B69" s="360" t="s">
        <v>1030</v>
      </c>
      <c r="C69" s="185"/>
      <c r="D69" s="185"/>
      <c r="E69" s="185"/>
      <c r="F69" s="185"/>
      <c r="G69" s="185"/>
      <c r="H69" s="186"/>
      <c r="I69" s="81">
        <f t="shared" si="1"/>
        <v>0</v>
      </c>
      <c r="J69" s="47"/>
      <c r="K69" s="50"/>
      <c r="M69" s="238" t="str">
        <f>HYPERLINK("https://github.com/VAMPIER000001/CompetitiveProgramming/blob/master/UVA/V-119/UVA%2011987.Cpp","Sol")</f>
        <v>Sol</v>
      </c>
    </row>
    <row r="70">
      <c r="A70" s="356"/>
      <c r="B70" s="360" t="s">
        <v>1031</v>
      </c>
      <c r="C70" s="185"/>
      <c r="D70" s="185"/>
      <c r="E70" s="185"/>
      <c r="F70" s="185"/>
      <c r="G70" s="185"/>
      <c r="H70" s="186"/>
      <c r="I70" s="81">
        <f t="shared" si="1"/>
        <v>0</v>
      </c>
      <c r="J70" s="47"/>
      <c r="K70" s="50"/>
      <c r="M70" s="87"/>
    </row>
    <row r="71">
      <c r="A71" s="310"/>
      <c r="B71" s="311" t="str">
        <f>HYPERLINK("http://codeforces.com/contest/513/problem/C","CF513-D12-C")</f>
        <v>CF513-D12-C</v>
      </c>
      <c r="C71" s="185"/>
      <c r="D71" s="185"/>
      <c r="E71" s="185"/>
      <c r="F71" s="185"/>
      <c r="G71" s="185"/>
      <c r="H71" s="186"/>
      <c r="I71" s="81">
        <f t="shared" si="1"/>
        <v>0</v>
      </c>
      <c r="J71" s="47"/>
      <c r="K71" s="50"/>
      <c r="M71" s="238" t="str">
        <f>HYPERLINK("https://github.com/aabdelzaher/Competitive-Programming/blob/master/Codeforces/CF513-D12-C.java","Sol")</f>
        <v>Sol</v>
      </c>
    </row>
    <row r="72">
      <c r="A72" s="310"/>
      <c r="B72" s="310" t="s">
        <v>1032</v>
      </c>
      <c r="C72" s="185"/>
      <c r="D72" s="185"/>
      <c r="E72" s="185"/>
      <c r="F72" s="185"/>
      <c r="G72" s="185"/>
      <c r="H72" s="186"/>
      <c r="I72" s="81">
        <f t="shared" si="1"/>
        <v>0</v>
      </c>
      <c r="J72" s="47"/>
      <c r="K72" s="50"/>
      <c r="M72" s="87"/>
    </row>
    <row r="73">
      <c r="A73" s="310"/>
      <c r="B73" s="310" t="s">
        <v>1033</v>
      </c>
      <c r="C73" s="185"/>
      <c r="D73" s="185"/>
      <c r="E73" s="185"/>
      <c r="F73" s="185"/>
      <c r="G73" s="185"/>
      <c r="H73" s="186"/>
      <c r="I73" s="81">
        <f t="shared" si="1"/>
        <v>0</v>
      </c>
      <c r="J73" s="47"/>
      <c r="K73" s="50"/>
      <c r="M73" s="238" t="str">
        <f>HYPERLINK("https://github.com/mostafa-saad/MyCompetitiveProgramming/blob/master/SPOJ/SPOJ_PARSUMS.txt","Sol")</f>
        <v>Sol</v>
      </c>
    </row>
    <row r="74">
      <c r="A74" s="310"/>
      <c r="B74" s="311" t="str">
        <f>HYPERLINK("https://codeforces.com/contest/1138/problem/D","CF1138-D2-D")</f>
        <v>CF1138-D2-D</v>
      </c>
      <c r="C74" s="185"/>
      <c r="D74" s="185"/>
      <c r="E74" s="185"/>
      <c r="F74" s="185"/>
      <c r="G74" s="185"/>
      <c r="H74" s="186"/>
      <c r="I74" s="81">
        <f t="shared" si="1"/>
        <v>0</v>
      </c>
      <c r="J74" s="47"/>
      <c r="K74" s="50"/>
      <c r="M74" s="87"/>
    </row>
    <row r="75">
      <c r="A75" s="192"/>
      <c r="B75" s="293"/>
      <c r="C75" s="185"/>
      <c r="D75" s="185"/>
      <c r="E75" s="185"/>
      <c r="F75" s="185"/>
      <c r="G75" s="185"/>
      <c r="H75" s="186"/>
      <c r="I75" s="81">
        <f t="shared" si="1"/>
        <v>0</v>
      </c>
      <c r="J75" s="86"/>
      <c r="K75" s="80"/>
      <c r="L75" s="50"/>
      <c r="M75" s="110"/>
    </row>
    <row r="76">
      <c r="A76" s="110" t="s">
        <v>1034</v>
      </c>
      <c r="B76" s="213" t="str">
        <f>HYPERLINK("http://codeforces.com/contest/284/problem/D","CF284-D2-D")</f>
        <v>CF284-D2-D</v>
      </c>
      <c r="C76" s="185"/>
      <c r="D76" s="185"/>
      <c r="E76" s="185"/>
      <c r="F76" s="185"/>
      <c r="G76" s="185"/>
      <c r="H76" s="186"/>
      <c r="I76" s="81">
        <f t="shared" si="1"/>
        <v>0</v>
      </c>
      <c r="J76" s="117"/>
      <c r="K76" s="116"/>
      <c r="L76" s="50"/>
      <c r="M76" s="50"/>
    </row>
    <row r="77">
      <c r="A77" s="50" t="s">
        <v>1035</v>
      </c>
      <c r="B77" s="213" t="str">
        <f>HYPERLINK("http://codeforces.com/contest/431/problem/D","CF431-D2-D")</f>
        <v>CF431-D2-D</v>
      </c>
      <c r="C77" s="185"/>
      <c r="D77" s="185"/>
      <c r="E77" s="185"/>
      <c r="F77" s="185"/>
      <c r="G77" s="185"/>
      <c r="H77" s="186"/>
      <c r="I77" s="81">
        <f t="shared" si="1"/>
        <v>0</v>
      </c>
      <c r="J77" s="47"/>
      <c r="K77" s="50"/>
      <c r="L77" s="50"/>
      <c r="M77" s="50"/>
    </row>
    <row r="78">
      <c r="A78" s="192" t="s">
        <v>1036</v>
      </c>
      <c r="B78" s="361" t="str">
        <f>HYPERLINK("http://codeforces.com/contest/296/problem/D","CF296-D2-D")</f>
        <v>CF296-D2-D</v>
      </c>
      <c r="C78" s="185"/>
      <c r="D78" s="185"/>
      <c r="E78" s="185"/>
      <c r="F78" s="185"/>
      <c r="G78" s="185"/>
      <c r="H78" s="186"/>
      <c r="I78" s="81">
        <f t="shared" si="1"/>
        <v>0</v>
      </c>
      <c r="J78" s="86"/>
      <c r="K78" s="80"/>
      <c r="L78" s="50"/>
      <c r="M78" s="110"/>
    </row>
    <row r="79">
      <c r="A79" s="192" t="s">
        <v>1037</v>
      </c>
      <c r="B79" s="361" t="str">
        <f>HYPERLINK("http://codeforces.com/contest/104/problem/D","CF104-D2-D")</f>
        <v>CF104-D2-D</v>
      </c>
      <c r="C79" s="185"/>
      <c r="D79" s="185"/>
      <c r="E79" s="185"/>
      <c r="F79" s="185"/>
      <c r="G79" s="185"/>
      <c r="H79" s="186"/>
      <c r="I79" s="81">
        <f t="shared" si="1"/>
        <v>0</v>
      </c>
      <c r="J79" s="86"/>
      <c r="K79" s="80"/>
      <c r="L79" s="50"/>
      <c r="M79" s="110"/>
    </row>
    <row r="80">
      <c r="A80" s="110" t="s">
        <v>1038</v>
      </c>
      <c r="B80" s="213" t="str">
        <f>HYPERLINK("http://codeforces.com/contest/659/problem/D","CF659-D2-D")</f>
        <v>CF659-D2-D</v>
      </c>
      <c r="C80" s="185"/>
      <c r="D80" s="185"/>
      <c r="E80" s="185"/>
      <c r="F80" s="185"/>
      <c r="G80" s="185"/>
      <c r="H80" s="186"/>
      <c r="I80" s="81">
        <f t="shared" si="1"/>
        <v>0</v>
      </c>
      <c r="J80" s="117"/>
      <c r="K80" s="116"/>
      <c r="L80" s="50"/>
      <c r="M80" s="50"/>
    </row>
    <row r="81">
      <c r="A81" s="110" t="s">
        <v>1039</v>
      </c>
      <c r="B81" s="213" t="str">
        <f>HYPERLINK("http://codeforces.com/contest/270/problem/D","CF270-D2-D")</f>
        <v>CF270-D2-D</v>
      </c>
      <c r="C81" s="185"/>
      <c r="D81" s="185"/>
      <c r="E81" s="185"/>
      <c r="F81" s="185"/>
      <c r="G81" s="185"/>
      <c r="H81" s="186"/>
      <c r="I81" s="81">
        <f t="shared" si="1"/>
        <v>0</v>
      </c>
      <c r="J81" s="117"/>
      <c r="K81" s="116"/>
      <c r="L81" s="50"/>
      <c r="M81" s="50"/>
    </row>
    <row r="82">
      <c r="A82" s="110"/>
      <c r="B82" s="213" t="str">
        <f>HYPERLINK("http://codeforces.com/contest/645/problem/D","CF645-D12-D")</f>
        <v>CF645-D12-D</v>
      </c>
      <c r="C82" s="185"/>
      <c r="D82" s="185"/>
      <c r="E82" s="185"/>
      <c r="F82" s="185"/>
      <c r="G82" s="185"/>
      <c r="H82" s="186"/>
      <c r="I82" s="81">
        <f t="shared" si="1"/>
        <v>0</v>
      </c>
      <c r="J82" s="117"/>
      <c r="K82" s="116"/>
      <c r="L82" s="50"/>
      <c r="M82" s="50"/>
    </row>
    <row r="83">
      <c r="A83" s="110"/>
      <c r="B83" s="213" t="str">
        <f>HYPERLINK("http://codeforces.com/contest/459/problem/C","CF459-D2-C")</f>
        <v>CF459-D2-C</v>
      </c>
      <c r="C83" s="185"/>
      <c r="D83" s="185"/>
      <c r="E83" s="185"/>
      <c r="F83" s="185"/>
      <c r="G83" s="185"/>
      <c r="H83" s="186"/>
      <c r="I83" s="81">
        <f t="shared" si="1"/>
        <v>0</v>
      </c>
      <c r="J83" s="117"/>
      <c r="K83" s="116"/>
      <c r="L83" s="50"/>
      <c r="M83" s="50"/>
    </row>
    <row r="84">
      <c r="A84" s="110"/>
      <c r="B84" s="213" t="str">
        <f>HYPERLINK("https://www.codechef.com/ACMIND18/problems/REDCGAME","CODECHEF REDCGAME")</f>
        <v>CODECHEF REDCGAME</v>
      </c>
      <c r="C84" s="185"/>
      <c r="D84" s="185"/>
      <c r="E84" s="185"/>
      <c r="F84" s="185"/>
      <c r="G84" s="185"/>
      <c r="H84" s="186"/>
      <c r="I84" s="81">
        <f t="shared" si="1"/>
        <v>0</v>
      </c>
      <c r="J84" s="117"/>
      <c r="K84" s="116"/>
      <c r="L84" s="50"/>
      <c r="M84" s="50"/>
    </row>
    <row r="85">
      <c r="A85" s="110"/>
      <c r="B85" s="213" t="str">
        <f>HYPERLINK("http://codeforces.com/contest/1005/problem/F","CF1005-D3-F")</f>
        <v>CF1005-D3-F</v>
      </c>
      <c r="C85" s="185"/>
      <c r="D85" s="185"/>
      <c r="E85" s="185"/>
      <c r="F85" s="185"/>
      <c r="G85" s="185"/>
      <c r="H85" s="186"/>
      <c r="I85" s="81">
        <f t="shared" si="1"/>
        <v>0</v>
      </c>
      <c r="J85" s="117"/>
      <c r="K85" s="116"/>
      <c r="L85" s="50"/>
      <c r="M85" s="50"/>
    </row>
    <row r="86">
      <c r="A86" s="242" t="s">
        <v>1040</v>
      </c>
      <c r="B86" s="288" t="str">
        <f>HYPERLINK("http://codeforces.com/contest/152/problem/C","CF152-D2-C")</f>
        <v>CF152-D2-C</v>
      </c>
      <c r="C86" s="185"/>
      <c r="D86" s="185"/>
      <c r="E86" s="185"/>
      <c r="F86" s="185"/>
      <c r="G86" s="185"/>
      <c r="H86" s="186"/>
      <c r="I86" s="81">
        <f t="shared" si="1"/>
        <v>0</v>
      </c>
      <c r="J86" s="117"/>
      <c r="K86" s="116"/>
      <c r="L86" s="50"/>
      <c r="M86" s="50"/>
    </row>
    <row r="87">
      <c r="A87" s="242" t="s">
        <v>1041</v>
      </c>
      <c r="B87" s="288" t="str">
        <f>HYPERLINK("http://codeforces.com/contest/361/problem/C","CF361-D2-C")</f>
        <v>CF361-D2-C</v>
      </c>
      <c r="C87" s="185"/>
      <c r="D87" s="185"/>
      <c r="E87" s="185"/>
      <c r="F87" s="185"/>
      <c r="G87" s="185"/>
      <c r="H87" s="186"/>
      <c r="I87" s="81">
        <f t="shared" si="1"/>
        <v>0</v>
      </c>
      <c r="J87" s="117"/>
      <c r="K87" s="116"/>
      <c r="L87" s="50"/>
      <c r="M87" s="50"/>
    </row>
    <row r="88">
      <c r="A88" s="242" t="s">
        <v>1042</v>
      </c>
      <c r="B88" s="288" t="str">
        <f>HYPERLINK("http://codeforces.com/contest/540/problem/C","CF540-D2-C")</f>
        <v>CF540-D2-C</v>
      </c>
      <c r="C88" s="185"/>
      <c r="D88" s="185"/>
      <c r="E88" s="185"/>
      <c r="F88" s="185"/>
      <c r="G88" s="185"/>
      <c r="H88" s="186"/>
      <c r="I88" s="81">
        <f t="shared" si="1"/>
        <v>0</v>
      </c>
      <c r="J88" s="117"/>
      <c r="K88" s="116"/>
      <c r="L88" s="50"/>
      <c r="M88" s="50"/>
    </row>
    <row r="89">
      <c r="A89" s="192"/>
      <c r="B89" s="293"/>
      <c r="C89" s="185"/>
      <c r="D89" s="185"/>
      <c r="E89" s="185"/>
      <c r="F89" s="185"/>
      <c r="G89" s="185"/>
      <c r="H89" s="186"/>
      <c r="I89" s="81">
        <f t="shared" si="1"/>
        <v>0</v>
      </c>
      <c r="J89" s="86"/>
      <c r="K89" s="80"/>
      <c r="L89" s="50"/>
      <c r="M89" s="110"/>
    </row>
    <row r="90">
      <c r="A90" s="346" t="s">
        <v>871</v>
      </c>
      <c r="B90" s="347" t="str">
        <f>HYPERLINK("https://uva.onlinejudge.org/index.php?option=com_onlinejudge&amp;Itemid=8&amp;page=show_problem&amp;problem=648","UVA 707")</f>
        <v>UVA 707</v>
      </c>
      <c r="C90" s="185"/>
      <c r="D90" s="185"/>
      <c r="E90" s="185"/>
      <c r="F90" s="185"/>
      <c r="G90" s="185"/>
      <c r="H90" s="186"/>
      <c r="I90" s="81">
        <f t="shared" si="1"/>
        <v>0</v>
      </c>
      <c r="J90" s="86"/>
      <c r="K90" s="80"/>
      <c r="L90" s="50"/>
      <c r="M90" s="238" t="str">
        <f>HYPERLINK("https://github.com/VAMPIER000001/CompetitiveProgramming/blob/master/UVA/V-7/UVA%20707.Cpp","Sol")</f>
        <v>Sol</v>
      </c>
    </row>
    <row r="91">
      <c r="A91" s="346" t="s">
        <v>1043</v>
      </c>
      <c r="B91" s="347" t="str">
        <f>HYPERLINK("https://uva.onlinejudge.org/index.php?option=com_onlinejudge&amp;Itemid=8&amp;page=show_problem&amp;problem=62","UVA 126")</f>
        <v>UVA 126</v>
      </c>
      <c r="C91" s="185"/>
      <c r="D91" s="185"/>
      <c r="E91" s="185"/>
      <c r="F91" s="185"/>
      <c r="G91" s="185"/>
      <c r="H91" s="186"/>
      <c r="I91" s="81">
        <f t="shared" si="1"/>
        <v>0</v>
      </c>
      <c r="J91" s="86"/>
      <c r="K91" s="80"/>
      <c r="M91" s="238" t="str">
        <f>HYPERLINK("https://github.com/abdullaAshraf/Problem-Solving/blob/master/UVA/126.cpp","Sol")</f>
        <v>Sol</v>
      </c>
    </row>
    <row r="92">
      <c r="A92" s="346" t="s">
        <v>1044</v>
      </c>
      <c r="B92" s="347" t="str">
        <f>HYPERLINK("https://uva.onlinejudge.org/index.php?option=com_onlinejudge&amp;Itemid=8&amp;page=show_problem&amp;problem=4501","UVA 1626")</f>
        <v>UVA 1626</v>
      </c>
      <c r="C92" s="185"/>
      <c r="D92" s="185"/>
      <c r="E92" s="185"/>
      <c r="F92" s="185"/>
      <c r="G92" s="185"/>
      <c r="H92" s="186"/>
      <c r="I92" s="81">
        <f t="shared" si="1"/>
        <v>0</v>
      </c>
      <c r="J92" s="86"/>
      <c r="K92" s="80"/>
      <c r="M92" s="238" t="str">
        <f>HYPERLINK("https://github.com/abdullaAshraf/Problem-Solving/blob/master/UVA/1626.cpp","Sol")</f>
        <v>Sol</v>
      </c>
    </row>
    <row r="93">
      <c r="A93" s="346" t="s">
        <v>1045</v>
      </c>
      <c r="B93" s="347" t="str">
        <f>HYPERLINK("https://www.youtube.com/watch?v=OWlJ8chpit0","UVA 10448")</f>
        <v>UVA 10448</v>
      </c>
      <c r="C93" s="185"/>
      <c r="D93" s="185"/>
      <c r="E93" s="185"/>
      <c r="F93" s="185"/>
      <c r="G93" s="185"/>
      <c r="H93" s="186"/>
      <c r="I93" s="81">
        <f t="shared" si="1"/>
        <v>0</v>
      </c>
      <c r="J93" s="86"/>
      <c r="K93" s="80"/>
      <c r="L93" s="50"/>
      <c r="M93" s="106" t="str">
        <f>HYPERLINK("https://www.youtube.com/watch?v=OWlJ8chpit0","Video Solution - Dr Mostafa Saad")</f>
        <v>Video Solution - Dr Mostafa Saad</v>
      </c>
    </row>
    <row r="94">
      <c r="A94" s="319" t="s">
        <v>1046</v>
      </c>
      <c r="B94" s="320" t="str">
        <f>HYPERLINK("http://codeforces.com/contest/540/problem/D","CF540-D2-D")</f>
        <v>CF540-D2-D</v>
      </c>
      <c r="C94" s="185"/>
      <c r="D94" s="185"/>
      <c r="E94" s="185"/>
      <c r="F94" s="185"/>
      <c r="G94" s="185"/>
      <c r="H94" s="186"/>
      <c r="I94" s="81">
        <f t="shared" si="1"/>
        <v>0</v>
      </c>
      <c r="J94" s="117"/>
      <c r="K94" s="116"/>
      <c r="L94" s="50"/>
      <c r="M94" s="50"/>
    </row>
    <row r="95">
      <c r="A95" s="319" t="s">
        <v>1047</v>
      </c>
      <c r="B95" s="319" t="s">
        <v>1048</v>
      </c>
      <c r="C95" s="185"/>
      <c r="D95" s="185"/>
      <c r="E95" s="185"/>
      <c r="F95" s="185"/>
      <c r="G95" s="185"/>
      <c r="H95" s="186"/>
      <c r="I95" s="81">
        <f t="shared" si="1"/>
        <v>0</v>
      </c>
      <c r="J95" s="117"/>
      <c r="K95" s="116"/>
      <c r="M95" s="238" t="str">
        <f>HYPERLINK("https://github.com/SaraElkadi/competitive-programming-/blob/master/UVA/11284.cpp","Sol")</f>
        <v>Sol</v>
      </c>
    </row>
    <row r="96">
      <c r="A96" s="247" t="s">
        <v>1049</v>
      </c>
      <c r="B96" s="247" t="s">
        <v>1050</v>
      </c>
      <c r="C96" s="185"/>
      <c r="D96" s="185"/>
      <c r="E96" s="185"/>
      <c r="F96" s="185"/>
      <c r="G96" s="185"/>
      <c r="H96" s="186"/>
      <c r="I96" s="81">
        <f t="shared" si="1"/>
        <v>0</v>
      </c>
      <c r="J96" s="117"/>
      <c r="K96" s="116"/>
      <c r="M96" s="238" t="str">
        <f>HYPERLINK("https://github.com/BRAINOOO/CompetitiveProgramming/blob/master/UVA/V-116/UVA%2011635.Cpp","Sol")</f>
        <v>Sol</v>
      </c>
    </row>
    <row r="97">
      <c r="A97" s="247"/>
      <c r="B97" s="248" t="str">
        <f>HYPERLINK("http://codeforces.com/contest/337/problem/D","CF337-D2-D")</f>
        <v>CF337-D2-D</v>
      </c>
      <c r="C97" s="185"/>
      <c r="D97" s="185"/>
      <c r="E97" s="185"/>
      <c r="F97" s="185"/>
      <c r="G97" s="185"/>
      <c r="H97" s="186"/>
      <c r="I97" s="81">
        <f t="shared" si="1"/>
        <v>0</v>
      </c>
      <c r="J97" s="117"/>
      <c r="K97" s="116"/>
      <c r="M97" s="238" t="str">
        <f>HYPERLINK("http://codeforces.com/contest/337/submission/38413425","Sol")</f>
        <v>Sol</v>
      </c>
    </row>
    <row r="98">
      <c r="A98" s="247"/>
      <c r="B98" s="248" t="str">
        <f>HYPERLINK("https://www.hackerrank.com/challenges/ajourney","HACKR ajourney")</f>
        <v>HACKR ajourney</v>
      </c>
      <c r="C98" s="185"/>
      <c r="D98" s="185"/>
      <c r="E98" s="185"/>
      <c r="F98" s="185"/>
      <c r="G98" s="185"/>
      <c r="H98" s="186"/>
      <c r="I98" s="81">
        <f t="shared" si="1"/>
        <v>0</v>
      </c>
      <c r="J98" s="117"/>
      <c r="K98" s="116"/>
      <c r="M98" s="87"/>
    </row>
    <row r="99">
      <c r="A99" s="247"/>
      <c r="B99" s="248" t="str">
        <f>HYPERLINK("https://codeforces.com/contest/665/problem/E","CF665-D12-E")</f>
        <v>CF665-D12-E</v>
      </c>
      <c r="C99" s="185"/>
      <c r="D99" s="185"/>
      <c r="E99" s="185"/>
      <c r="F99" s="185"/>
      <c r="G99" s="185"/>
      <c r="H99" s="186"/>
      <c r="I99" s="81">
        <f t="shared" si="1"/>
        <v>0</v>
      </c>
      <c r="J99" s="117"/>
      <c r="K99" s="116"/>
      <c r="M99" s="87"/>
    </row>
    <row r="100">
      <c r="A100" s="192"/>
      <c r="B100" s="293"/>
      <c r="C100" s="185"/>
      <c r="D100" s="185"/>
      <c r="E100" s="185"/>
      <c r="F100" s="185"/>
      <c r="G100" s="185"/>
      <c r="H100" s="186"/>
      <c r="I100" s="81">
        <f t="shared" si="1"/>
        <v>0</v>
      </c>
      <c r="J100" s="86"/>
      <c r="K100" s="80"/>
      <c r="M100" s="87"/>
    </row>
    <row r="101">
      <c r="A101" s="192" t="s">
        <v>1051</v>
      </c>
      <c r="B101" s="202" t="str">
        <f>HYPERLINK("http://codeforces.com/contest/203/problem/D","CF203-D2-D")</f>
        <v>CF203-D2-D</v>
      </c>
      <c r="C101" s="185"/>
      <c r="D101" s="185"/>
      <c r="E101" s="185"/>
      <c r="F101" s="185"/>
      <c r="G101" s="185"/>
      <c r="H101" s="186"/>
      <c r="I101" s="81">
        <f t="shared" si="1"/>
        <v>0</v>
      </c>
      <c r="J101" s="86"/>
      <c r="K101" s="80"/>
      <c r="M101" s="87"/>
    </row>
    <row r="102">
      <c r="A102" s="110" t="s">
        <v>1052</v>
      </c>
      <c r="B102" s="213" t="str">
        <f>HYPERLINK("http://codeforces.com/contest/368/problem/D","CF368-D2-D")</f>
        <v>CF368-D2-D</v>
      </c>
      <c r="C102" s="185"/>
      <c r="D102" s="185"/>
      <c r="E102" s="185"/>
      <c r="F102" s="185"/>
      <c r="G102" s="185"/>
      <c r="H102" s="186"/>
      <c r="I102" s="81">
        <f t="shared" si="1"/>
        <v>0</v>
      </c>
      <c r="J102" s="47"/>
      <c r="K102" s="50"/>
      <c r="M102" s="238" t="str">
        <f>HYPERLINK("https://github.com/MohamedNabil97/CompetitiveProgramming/blob/master/CodeForces/CF368-D2-D.cpp","Sol")</f>
        <v>Sol</v>
      </c>
    </row>
    <row r="103">
      <c r="A103" s="110" t="s">
        <v>1053</v>
      </c>
      <c r="B103" s="213" t="str">
        <f>HYPERLINK("http://codeforces.com/contest/219/problem/D","CF219-D2-D")</f>
        <v>CF219-D2-D</v>
      </c>
      <c r="C103" s="185"/>
      <c r="D103" s="185"/>
      <c r="E103" s="185"/>
      <c r="F103" s="185"/>
      <c r="G103" s="185"/>
      <c r="H103" s="186"/>
      <c r="I103" s="81">
        <f t="shared" si="1"/>
        <v>0</v>
      </c>
      <c r="J103" s="47"/>
      <c r="K103" s="50"/>
      <c r="M103" s="87"/>
    </row>
    <row r="104">
      <c r="A104" s="110" t="s">
        <v>1054</v>
      </c>
      <c r="B104" s="213" t="str">
        <f>HYPERLINK("http://codeforces.com/contest/149/problem/D","CF149-D2-D")</f>
        <v>CF149-D2-D</v>
      </c>
      <c r="C104" s="185"/>
      <c r="D104" s="185"/>
      <c r="E104" s="185"/>
      <c r="F104" s="185"/>
      <c r="G104" s="185"/>
      <c r="H104" s="186"/>
      <c r="I104" s="81">
        <f t="shared" si="1"/>
        <v>0</v>
      </c>
      <c r="J104" s="47"/>
      <c r="K104" s="50"/>
      <c r="M104" s="238" t="str">
        <f>HYPERLINK("https://github.com/osamahatem/CompetitiveProgramming/blob/master/Codeforces/149D.%20Coloring%20Brackets.cpp","Sol")</f>
        <v>Sol</v>
      </c>
    </row>
    <row r="105">
      <c r="A105" s="110" t="s">
        <v>1055</v>
      </c>
      <c r="B105" s="213" t="str">
        <f>HYPERLINK("http://codeforces.com/contest/263/problem/D","CF263-D2-D")</f>
        <v>CF263-D2-D</v>
      </c>
      <c r="C105" s="185"/>
      <c r="D105" s="185"/>
      <c r="E105" s="185"/>
      <c r="F105" s="185"/>
      <c r="G105" s="185"/>
      <c r="H105" s="186"/>
      <c r="I105" s="81">
        <f t="shared" si="1"/>
        <v>0</v>
      </c>
      <c r="J105" s="117"/>
      <c r="K105" s="116"/>
      <c r="L105" s="50"/>
      <c r="M105" s="110"/>
    </row>
    <row r="106">
      <c r="A106" s="110"/>
      <c r="B106" s="213" t="str">
        <f>HYPERLINK("https://codeforces.com/gym/101187/problem/F","CF101187-GYM-F")</f>
        <v>CF101187-GYM-F</v>
      </c>
      <c r="C106" s="185"/>
      <c r="D106" s="185"/>
      <c r="E106" s="185"/>
      <c r="F106" s="185"/>
      <c r="G106" s="185"/>
      <c r="H106" s="186"/>
      <c r="I106" s="81">
        <f t="shared" si="1"/>
        <v>0</v>
      </c>
      <c r="J106" s="117"/>
      <c r="K106" s="116"/>
      <c r="L106" s="50"/>
      <c r="M106" s="267" t="str">
        <f>HYPERLINK("https://github.com/SpeedOfMagic/CompetitiveProgramming/blob/master/CodeforcesGym/CF101187-GYM-F.cpp","Sol")</f>
        <v>Sol</v>
      </c>
    </row>
    <row r="107">
      <c r="A107" s="110"/>
      <c r="B107" s="110" t="s">
        <v>1056</v>
      </c>
      <c r="C107" s="185"/>
      <c r="D107" s="185"/>
      <c r="E107" s="185"/>
      <c r="F107" s="185"/>
      <c r="G107" s="185"/>
      <c r="H107" s="186"/>
      <c r="I107" s="81">
        <f t="shared" si="1"/>
        <v>0</v>
      </c>
      <c r="J107" s="117"/>
      <c r="K107" s="116"/>
      <c r="L107" s="50"/>
      <c r="M107" s="110"/>
    </row>
    <row r="108">
      <c r="A108" s="110"/>
      <c r="B108" s="213" t="str">
        <f>HYPERLINK("https://beta.atcoder.jp/contests/arc092/tasks/arc092_b","Atcoder092-ARC-B")</f>
        <v>Atcoder092-ARC-B</v>
      </c>
      <c r="C108" s="185"/>
      <c r="D108" s="185"/>
      <c r="E108" s="185"/>
      <c r="F108" s="185"/>
      <c r="G108" s="185"/>
      <c r="H108" s="186"/>
      <c r="I108" s="81">
        <f t="shared" si="1"/>
        <v>0</v>
      </c>
      <c r="J108" s="117"/>
      <c r="K108" s="116"/>
      <c r="L108" s="50"/>
      <c r="M108" s="110"/>
    </row>
    <row r="109">
      <c r="A109" s="110"/>
      <c r="B109" s="213" t="str">
        <f>HYPERLINK("https://agc002.contest.atcoder.jp/tasks/agc002_c","AtCoder002-AGC-C")</f>
        <v>AtCoder002-AGC-C</v>
      </c>
      <c r="C109" s="185"/>
      <c r="D109" s="185"/>
      <c r="E109" s="185"/>
      <c r="F109" s="185"/>
      <c r="G109" s="185"/>
      <c r="H109" s="186"/>
      <c r="I109" s="81">
        <f t="shared" si="1"/>
        <v>0</v>
      </c>
      <c r="J109" s="117"/>
      <c r="K109" s="116"/>
      <c r="L109" s="50"/>
      <c r="M109" s="110"/>
    </row>
    <row r="110">
      <c r="A110" s="242" t="s">
        <v>1057</v>
      </c>
      <c r="B110" s="288" t="str">
        <f>HYPERLINK("http://codeforces.com/contest/363/problem/C","CF363-D2-C")</f>
        <v>CF363-D2-C</v>
      </c>
      <c r="C110" s="185"/>
      <c r="D110" s="185"/>
      <c r="E110" s="185"/>
      <c r="F110" s="185"/>
      <c r="G110" s="185"/>
      <c r="H110" s="186"/>
      <c r="I110" s="81">
        <f t="shared" si="1"/>
        <v>0</v>
      </c>
      <c r="J110" s="117"/>
      <c r="K110" s="116"/>
      <c r="L110" s="50"/>
      <c r="M110" s="110"/>
    </row>
    <row r="111">
      <c r="A111" s="242" t="s">
        <v>1058</v>
      </c>
      <c r="B111" s="288" t="str">
        <f>HYPERLINK("http://codeforces.com/contest/194/problem/C","CF194-D2-C")</f>
        <v>CF194-D2-C</v>
      </c>
      <c r="C111" s="185"/>
      <c r="D111" s="185"/>
      <c r="E111" s="185"/>
      <c r="F111" s="185"/>
      <c r="G111" s="185"/>
      <c r="H111" s="186"/>
      <c r="I111" s="81">
        <f t="shared" si="1"/>
        <v>0</v>
      </c>
      <c r="J111" s="117"/>
      <c r="K111" s="116"/>
      <c r="L111" s="50"/>
      <c r="M111" s="110"/>
    </row>
    <row r="112">
      <c r="A112" s="242" t="s">
        <v>1059</v>
      </c>
      <c r="B112" s="288" t="str">
        <f>HYPERLINK("http://codeforces.com/contest/265/problem/C","CF265-D2-C")</f>
        <v>CF265-D2-C</v>
      </c>
      <c r="C112" s="185"/>
      <c r="D112" s="185"/>
      <c r="E112" s="185"/>
      <c r="F112" s="185"/>
      <c r="G112" s="185"/>
      <c r="H112" s="186"/>
      <c r="I112" s="81">
        <f t="shared" si="1"/>
        <v>0</v>
      </c>
      <c r="J112" s="117"/>
      <c r="K112" s="116"/>
      <c r="L112" s="50"/>
      <c r="M112" s="110"/>
    </row>
    <row r="113">
      <c r="A113" s="192"/>
      <c r="B113" s="293"/>
      <c r="C113" s="185"/>
      <c r="D113" s="185"/>
      <c r="E113" s="185"/>
      <c r="F113" s="185"/>
      <c r="G113" s="185"/>
      <c r="H113" s="186"/>
      <c r="I113" s="81">
        <f t="shared" si="1"/>
        <v>0</v>
      </c>
      <c r="J113" s="86"/>
      <c r="K113" s="80"/>
      <c r="L113" s="50"/>
      <c r="M113" s="362" t="str">
        <f>HYPERLINK("https://www.youtube.com/watch?v=OnysyxVPPD0","Geometry - Simple and Convex Polygons")</f>
        <v>Geometry - Simple and Convex Polygons</v>
      </c>
    </row>
    <row r="114">
      <c r="A114" s="192"/>
      <c r="B114" s="293"/>
      <c r="C114" s="185"/>
      <c r="D114" s="185"/>
      <c r="E114" s="185"/>
      <c r="F114" s="185"/>
      <c r="G114" s="185"/>
      <c r="H114" s="186"/>
      <c r="I114" s="81">
        <f t="shared" si="1"/>
        <v>0</v>
      </c>
      <c r="J114" s="86"/>
      <c r="K114" s="80"/>
      <c r="L114" s="50"/>
      <c r="M114" s="363" t="str">
        <f>HYPERLINK("w.youtube.com/watch?v=Cce_O7EKv2Y","Geometry - Polygon Area - Centroid - Cut")</f>
        <v>Geometry - Polygon Area - Centroid - Cut</v>
      </c>
    </row>
    <row r="115">
      <c r="A115" s="364" t="str">
        <f>HYPERLINK("https://community.topcoder.com/stat?c=problem_statement&amp;pm=5923&amp;rd=8075","BestTriangulation")</f>
        <v>BestTriangulation</v>
      </c>
      <c r="B115" s="350" t="s">
        <v>1060</v>
      </c>
      <c r="C115" s="185"/>
      <c r="D115" s="185"/>
      <c r="E115" s="185"/>
      <c r="F115" s="185"/>
      <c r="G115" s="185"/>
      <c r="H115" s="186"/>
      <c r="I115" s="81">
        <f t="shared" si="1"/>
        <v>0</v>
      </c>
      <c r="J115" s="86"/>
      <c r="K115" s="80"/>
      <c r="L115" s="50"/>
      <c r="M115" s="110"/>
    </row>
    <row r="116">
      <c r="A116" s="348" t="s">
        <v>1061</v>
      </c>
      <c r="B116" s="344" t="str">
        <f>HYPERLINK("https://uva.onlinejudge.org/index.php?option=onlinejudge&amp;page=show_problem&amp;problem=1029","UVA 10088")</f>
        <v>UVA 10088</v>
      </c>
      <c r="C116" s="185"/>
      <c r="D116" s="185"/>
      <c r="E116" s="185"/>
      <c r="F116" s="185"/>
      <c r="G116" s="185"/>
      <c r="H116" s="186"/>
      <c r="I116" s="81">
        <f t="shared" si="1"/>
        <v>0</v>
      </c>
      <c r="J116" s="86"/>
      <c r="K116" s="80"/>
      <c r="M116" s="50"/>
    </row>
    <row r="117">
      <c r="A117" s="348" t="s">
        <v>1062</v>
      </c>
      <c r="B117" s="344" t="str">
        <f>HYPERLINK("https://uva.onlinejudge.org/index.php?option=onlinejudge&amp;page=show_problem&amp;problem=946","UVA 10005")</f>
        <v>UVA 10005</v>
      </c>
      <c r="C117" s="185"/>
      <c r="D117" s="185"/>
      <c r="E117" s="185"/>
      <c r="F117" s="185"/>
      <c r="G117" s="185"/>
      <c r="H117" s="186"/>
      <c r="I117" s="81">
        <f t="shared" si="1"/>
        <v>0</v>
      </c>
      <c r="J117" s="86"/>
      <c r="K117" s="80"/>
      <c r="M117" s="238" t="str">
        <f>HYPERLINK("https://github.com/mostafa-saad/MyCompetitiveProgramming/blob/master/UVA/UVA_10005.txt","Sol")</f>
        <v>Sol</v>
      </c>
    </row>
    <row r="118">
      <c r="A118" s="345"/>
      <c r="B118" s="365" t="s">
        <v>1063</v>
      </c>
      <c r="C118" s="185"/>
      <c r="D118" s="185"/>
      <c r="E118" s="185"/>
      <c r="F118" s="185"/>
      <c r="G118" s="185"/>
      <c r="H118" s="186"/>
      <c r="I118" s="81">
        <f t="shared" si="1"/>
        <v>0</v>
      </c>
      <c r="J118" s="86"/>
      <c r="K118" s="80"/>
      <c r="M118" s="238" t="str">
        <f>HYPERLINK("https://github.com/MeGaCrazy/CompetitiveProgramming/blob/c9f4ed6571a135dbc26cfeeb099384a8fec2ff92/LiveArchive/LIVEARCHIVE_2831.cpp","Use polygon cut")</f>
        <v>Use polygon cut</v>
      </c>
    </row>
    <row r="119">
      <c r="A119" s="345" t="s">
        <v>1064</v>
      </c>
      <c r="B119" s="344" t="str">
        <f>HYPERLINK("https://uva.onlinejudge.org/index.php?option=com_onlinejudge&amp;Itemid=8&amp;page=show_problem&amp;problem=529","UVA 588")</f>
        <v>UVA 588</v>
      </c>
      <c r="C119" s="185"/>
      <c r="D119" s="185"/>
      <c r="E119" s="185"/>
      <c r="F119" s="185"/>
      <c r="G119" s="185"/>
      <c r="H119" s="186"/>
      <c r="I119" s="81">
        <f t="shared" si="1"/>
        <v>0</v>
      </c>
      <c r="J119" s="86"/>
      <c r="K119" s="80"/>
      <c r="M119" s="238" t="str">
        <f>HYPERLINK("https://github.com/mostafa-saad/MyCompetitiveProgramming/blob/master/UVA/588.cpp","Use polygon cut")</f>
        <v>Use polygon cut</v>
      </c>
    </row>
    <row r="120">
      <c r="A120" s="319"/>
      <c r="B120" s="366" t="s">
        <v>1065</v>
      </c>
      <c r="C120" s="185"/>
      <c r="D120" s="185"/>
      <c r="E120" s="185"/>
      <c r="F120" s="185"/>
      <c r="G120" s="185"/>
      <c r="H120" s="186"/>
      <c r="I120" s="81">
        <f t="shared" si="1"/>
        <v>0</v>
      </c>
      <c r="J120" s="117"/>
      <c r="K120" s="116"/>
      <c r="L120" s="50"/>
      <c r="M120" s="87"/>
    </row>
    <row r="121">
      <c r="A121" s="319"/>
      <c r="B121" s="319" t="s">
        <v>1066</v>
      </c>
      <c r="C121" s="185"/>
      <c r="D121" s="185"/>
      <c r="E121" s="185"/>
      <c r="F121" s="185"/>
      <c r="G121" s="185"/>
      <c r="H121" s="186"/>
      <c r="I121" s="81">
        <f t="shared" si="1"/>
        <v>0</v>
      </c>
      <c r="J121" s="117"/>
      <c r="K121" s="116"/>
      <c r="L121" s="50"/>
      <c r="M121" s="87"/>
    </row>
    <row r="122">
      <c r="A122" s="319"/>
      <c r="B122" s="247" t="s">
        <v>1067</v>
      </c>
      <c r="C122" s="185"/>
      <c r="D122" s="185"/>
      <c r="E122" s="185"/>
      <c r="F122" s="185"/>
      <c r="G122" s="185"/>
      <c r="H122" s="186"/>
      <c r="I122" s="81">
        <f t="shared" si="1"/>
        <v>0</v>
      </c>
      <c r="J122" s="117"/>
      <c r="K122" s="116"/>
      <c r="L122" s="50"/>
      <c r="M122" s="87"/>
    </row>
    <row r="123">
      <c r="A123" s="319"/>
      <c r="B123" s="247" t="s">
        <v>1068</v>
      </c>
      <c r="C123" s="185"/>
      <c r="D123" s="185"/>
      <c r="E123" s="185"/>
      <c r="F123" s="185"/>
      <c r="G123" s="185"/>
      <c r="H123" s="186"/>
      <c r="I123" s="81">
        <f t="shared" si="1"/>
        <v>0</v>
      </c>
      <c r="J123" s="117"/>
      <c r="K123" s="116"/>
      <c r="L123" s="50"/>
      <c r="M123" s="238" t="str">
        <f>HYPERLINK("https://github.com/aboodJAD/CompetitiveProgramming/blob/master/UVA/UVA%20557.cpp","Sol")</f>
        <v>Sol</v>
      </c>
    </row>
    <row r="124">
      <c r="A124" s="319"/>
      <c r="B124" s="247" t="s">
        <v>1069</v>
      </c>
      <c r="C124" s="185"/>
      <c r="D124" s="185"/>
      <c r="E124" s="185"/>
      <c r="F124" s="185"/>
      <c r="G124" s="185"/>
      <c r="H124" s="186"/>
      <c r="I124" s="81">
        <f t="shared" si="1"/>
        <v>0</v>
      </c>
      <c r="J124" s="117"/>
      <c r="K124" s="116"/>
      <c r="L124" s="50"/>
      <c r="M124" s="87"/>
    </row>
    <row r="125">
      <c r="A125" s="319" t="s">
        <v>1070</v>
      </c>
      <c r="B125" s="320" t="str">
        <f>HYPERLINK("https://www.hackerrank.com/challenges/xrange-and-pizza","HACKR xrange-and-pizza")</f>
        <v>HACKR xrange-and-pizza</v>
      </c>
      <c r="C125" s="185"/>
      <c r="D125" s="185"/>
      <c r="E125" s="185"/>
      <c r="F125" s="185"/>
      <c r="G125" s="185"/>
      <c r="H125" s="186"/>
      <c r="I125" s="81">
        <f t="shared" si="1"/>
        <v>0</v>
      </c>
      <c r="J125" s="86"/>
      <c r="K125" s="80"/>
      <c r="M125" s="238" t="str">
        <f>HYPERLINK("https://github.com/AbdelrahmanRamadan/competitive-programming/blob/master/HackerRank/xrange-and-pizza.cpp","Sol")</f>
        <v>Sol</v>
      </c>
    </row>
    <row r="126">
      <c r="A126" s="319"/>
      <c r="B126" s="247" t="s">
        <v>1071</v>
      </c>
      <c r="C126" s="185"/>
      <c r="D126" s="185"/>
      <c r="E126" s="185"/>
      <c r="F126" s="185"/>
      <c r="G126" s="185"/>
      <c r="H126" s="186"/>
      <c r="I126" s="81">
        <f t="shared" si="1"/>
        <v>0</v>
      </c>
      <c r="J126" s="86"/>
      <c r="K126" s="80"/>
      <c r="M126" s="87"/>
    </row>
    <row r="127">
      <c r="A127" s="319"/>
      <c r="B127" s="247" t="s">
        <v>1072</v>
      </c>
      <c r="C127" s="185"/>
      <c r="D127" s="185"/>
      <c r="E127" s="185"/>
      <c r="F127" s="185"/>
      <c r="G127" s="185"/>
      <c r="H127" s="186"/>
      <c r="I127" s="81">
        <f t="shared" si="1"/>
        <v>0</v>
      </c>
      <c r="J127" s="86"/>
      <c r="K127" s="80"/>
      <c r="M127" s="238" t="str">
        <f>HYPERLINK("https://github.com/mostafa-saad/MyCompetitiveProgramming/blob/master/UVA/UVA_11648.txt", "Sol")</f>
        <v>Sol</v>
      </c>
    </row>
    <row r="128">
      <c r="A128" s="319"/>
      <c r="B128" s="320" t="str">
        <f>HYPERLINK("http://codeforces.com/gym/101864/problem/A","CF101864-GYM-A")</f>
        <v>CF101864-GYM-A</v>
      </c>
      <c r="C128" s="185"/>
      <c r="D128" s="185"/>
      <c r="E128" s="185"/>
      <c r="F128" s="185"/>
      <c r="G128" s="185"/>
      <c r="H128" s="186"/>
      <c r="I128" s="81">
        <f t="shared" si="1"/>
        <v>0</v>
      </c>
      <c r="J128" s="86"/>
      <c r="K128" s="80"/>
      <c r="M128" s="238" t="str">
        <f>HYPERLINK("https://github.com/SpeedOfMagic/CompetitiveProgramming/blob/master/CodeforcesGym/CF101864-GYM-A.cpp","Sol")</f>
        <v>Sol</v>
      </c>
    </row>
    <row r="129">
      <c r="A129" s="319"/>
      <c r="B129" s="320" t="str">
        <f>HYPERLINK("http://codeforces.com/gym/101864/problem/L","CF101864-GYM-L")</f>
        <v>CF101864-GYM-L</v>
      </c>
      <c r="C129" s="185"/>
      <c r="D129" s="185"/>
      <c r="E129" s="185"/>
      <c r="F129" s="185"/>
      <c r="G129" s="185"/>
      <c r="H129" s="186"/>
      <c r="I129" s="81">
        <f t="shared" si="1"/>
        <v>0</v>
      </c>
      <c r="J129" s="86"/>
      <c r="K129" s="80"/>
      <c r="M129" s="238" t="str">
        <f>HYPERLINK("https://github.com/SpeedOfMagic/CompetitiveProgramming/blob/master/CodeforcesGym/CF101864-GYM-L.cpp","Sol")</f>
        <v>Sol</v>
      </c>
    </row>
    <row r="130">
      <c r="A130" s="319"/>
      <c r="B130" s="320" t="str">
        <f>HYPERLINK("http://codeforces.com/contest/28/problem/C","CF28-D12-C")</f>
        <v>CF28-D12-C</v>
      </c>
      <c r="C130" s="185"/>
      <c r="D130" s="185"/>
      <c r="E130" s="185"/>
      <c r="F130" s="185"/>
      <c r="G130" s="185"/>
      <c r="H130" s="186"/>
      <c r="I130" s="81">
        <f t="shared" si="1"/>
        <v>0</v>
      </c>
      <c r="J130" s="86"/>
      <c r="K130" s="80"/>
      <c r="M130" s="87"/>
    </row>
    <row r="131">
      <c r="A131" s="185"/>
      <c r="B131" s="293"/>
      <c r="C131" s="185"/>
      <c r="D131" s="185"/>
      <c r="E131" s="185"/>
      <c r="F131" s="185"/>
      <c r="G131" s="185"/>
      <c r="H131" s="186"/>
      <c r="I131" s="81">
        <f t="shared" si="1"/>
        <v>0</v>
      </c>
      <c r="J131" s="86"/>
      <c r="K131" s="80"/>
      <c r="L131" s="50"/>
      <c r="M131" s="367" t="str">
        <f>HYPERLINK("https://www.youtube.com/watch?v=I5A6OYH1yuM","Geometry - Point in polygon")</f>
        <v>Geometry - Point in polygon</v>
      </c>
    </row>
    <row r="132">
      <c r="A132" s="348"/>
      <c r="B132" s="221" t="s">
        <v>1073</v>
      </c>
      <c r="C132" s="185"/>
      <c r="D132" s="185"/>
      <c r="E132" s="185"/>
      <c r="F132" s="185"/>
      <c r="G132" s="185"/>
      <c r="H132" s="186"/>
      <c r="I132" s="81">
        <f t="shared" si="1"/>
        <v>0</v>
      </c>
      <c r="J132" s="86"/>
      <c r="K132" s="80"/>
      <c r="M132" s="238" t="str">
        <f>HYPERLINK("https://github.com/mostafa-saad/MyCompetitiveProgramming/blob/master/UVA/UVA_881.txt","Sol")</f>
        <v>Sol</v>
      </c>
    </row>
    <row r="133">
      <c r="A133" s="348"/>
      <c r="B133" s="221" t="s">
        <v>1074</v>
      </c>
      <c r="C133" s="185"/>
      <c r="D133" s="185"/>
      <c r="E133" s="185"/>
      <c r="F133" s="185"/>
      <c r="G133" s="185"/>
      <c r="H133" s="186"/>
      <c r="I133" s="81">
        <f t="shared" si="1"/>
        <v>0</v>
      </c>
      <c r="J133" s="86"/>
      <c r="K133" s="80"/>
      <c r="M133" s="238" t="str">
        <f>HYPERLINK("https://github.com/AbdelrahmanRamadan/competitive-programming/blob/master/UVA/11665%20-%20Chinese%20Ink.cpp","Sol")</f>
        <v>Sol</v>
      </c>
    </row>
    <row r="134">
      <c r="A134" s="348"/>
      <c r="B134" s="221" t="s">
        <v>1075</v>
      </c>
      <c r="C134" s="185"/>
      <c r="D134" s="185"/>
      <c r="E134" s="185"/>
      <c r="F134" s="185"/>
      <c r="G134" s="185"/>
      <c r="H134" s="186"/>
      <c r="I134" s="81">
        <f t="shared" si="1"/>
        <v>0</v>
      </c>
      <c r="J134" s="86"/>
      <c r="K134" s="80"/>
      <c r="M134" s="238" t="str">
        <f>HYPERLINK("https://github.com/AbdelrahmanRamadan/competitive-programming/blob/master/Timus/1599-Winding-Number.cpp","Sol")</f>
        <v>Sol</v>
      </c>
    </row>
    <row r="135">
      <c r="A135" s="304" t="s">
        <v>1076</v>
      </c>
      <c r="B135" s="344" t="str">
        <f>HYPERLINK("https://uva.onlinejudge.org/index.php?option=onlinejudge&amp;page=show_problem&amp;problem=73","UVA 137")</f>
        <v>UVA 137</v>
      </c>
      <c r="C135" s="185"/>
      <c r="D135" s="185"/>
      <c r="E135" s="185"/>
      <c r="F135" s="185"/>
      <c r="G135" s="185"/>
      <c r="H135" s="186"/>
      <c r="I135" s="81">
        <f t="shared" si="1"/>
        <v>0</v>
      </c>
      <c r="J135" s="86"/>
      <c r="K135" s="80"/>
      <c r="M135" s="238" t="str">
        <f>HYPERLINK("https://github.com/mostafa-saad/MyCompetitiveProgramming/blob/master/UVA/UVA_137.txt","Sol")</f>
        <v>Sol</v>
      </c>
    </row>
    <row r="136">
      <c r="A136" s="368"/>
      <c r="B136" s="368"/>
      <c r="C136" s="185"/>
      <c r="D136" s="185"/>
      <c r="E136" s="185"/>
      <c r="F136" s="185"/>
      <c r="G136" s="185"/>
      <c r="H136" s="186"/>
      <c r="I136" s="81">
        <f t="shared" si="1"/>
        <v>0</v>
      </c>
      <c r="J136" s="86"/>
      <c r="K136" s="80"/>
      <c r="L136" s="50"/>
      <c r="M136" s="290" t="str">
        <f>HYPERLINK("https://www.youtube.com/watch?v=QuOiEwefssM&amp;t=2s&amp;list=PLPt2dINI2MIb4OXlJ_EEwIDV9WVUpRQ5K&amp;index=16","Graph Theory - Maximum Flow (2 vid)")</f>
        <v>Graph Theory - Maximum Flow (2 vid)</v>
      </c>
    </row>
    <row r="137">
      <c r="A137" s="348" t="s">
        <v>1077</v>
      </c>
      <c r="B137" s="369" t="str">
        <f>HYPERLINK("http://www.spoj.com/problems/POTHOLE/","SPOJ POTHOLE")</f>
        <v>SPOJ POTHOLE</v>
      </c>
      <c r="C137" s="185"/>
      <c r="D137" s="185"/>
      <c r="E137" s="185"/>
      <c r="F137" s="185"/>
      <c r="G137" s="185"/>
      <c r="H137" s="186"/>
      <c r="I137" s="81">
        <f t="shared" si="1"/>
        <v>0</v>
      </c>
      <c r="J137" s="86"/>
      <c r="K137" s="80"/>
      <c r="L137" s="50"/>
      <c r="M137" s="238" t="str">
        <f>HYPERLINK("https://github.com/BRAINOOOO/CompetitiveProgramming/blob/682cdb2f527d2ab262a9f616687b53a158b281a4/Spoj/SPOJ%20POTHOLE.Cpp","Sol")</f>
        <v>Sol</v>
      </c>
    </row>
    <row r="138">
      <c r="A138" s="348" t="s">
        <v>1078</v>
      </c>
      <c r="B138" s="223" t="str">
        <f>HYPERLINK("https://uva.onlinejudge.org/index.php?option=onlinejudge&amp;page=show_problem&amp;problem=1271","UVA 10330")</f>
        <v>UVA 10330</v>
      </c>
      <c r="C138" s="185"/>
      <c r="D138" s="185"/>
      <c r="E138" s="185"/>
      <c r="F138" s="185"/>
      <c r="G138" s="185"/>
      <c r="H138" s="186"/>
      <c r="I138" s="81">
        <f t="shared" si="1"/>
        <v>0</v>
      </c>
      <c r="J138" s="86"/>
      <c r="K138" s="80"/>
      <c r="L138" s="50"/>
      <c r="M138" s="238" t="str">
        <f>HYPERLINK("https://github.com/ilyesG/Competitive-Programming/blob/master/UVA/UVA%2010330.cpp","Sol")</f>
        <v>Sol</v>
      </c>
    </row>
    <row r="139">
      <c r="A139" s="348" t="s">
        <v>1079</v>
      </c>
      <c r="B139" s="370" t="str">
        <f>HYPERLINK("https://uva.onlinejudge.org/index.php?option=com_onlinejudge&amp;Itemid=8&amp;page=show_problem&amp;problem=1021","UVA 10080")</f>
        <v>UVA 10080</v>
      </c>
      <c r="C139" s="185"/>
      <c r="D139" s="185"/>
      <c r="E139" s="185"/>
      <c r="F139" s="185"/>
      <c r="G139" s="185"/>
      <c r="H139" s="186"/>
      <c r="I139" s="81">
        <f t="shared" si="1"/>
        <v>0</v>
      </c>
      <c r="J139" s="86"/>
      <c r="K139" s="80"/>
      <c r="L139" s="50"/>
      <c r="M139" s="238" t="str">
        <f>HYPERLINK("https://github.com/ilyesG/Competitive-Programming/blob/master/UVA/UVA%2010080.cpp","Sol")</f>
        <v>Sol</v>
      </c>
    </row>
    <row r="140">
      <c r="A140" s="348" t="s">
        <v>1080</v>
      </c>
      <c r="B140" s="223" t="str">
        <f>HYPERLINK("https://uva.onlinejudge.org/index.php?option=com_onlinejudge&amp;Itemid=8&amp;page=show_problem&amp;problem=195","UVA 259")</f>
        <v>UVA 259</v>
      </c>
      <c r="C140" s="185"/>
      <c r="D140" s="185"/>
      <c r="E140" s="185"/>
      <c r="F140" s="185"/>
      <c r="G140" s="185"/>
      <c r="H140" s="186"/>
      <c r="I140" s="81">
        <f t="shared" si="1"/>
        <v>0</v>
      </c>
      <c r="J140" s="86"/>
      <c r="K140" s="80"/>
      <c r="L140" s="50"/>
      <c r="M140" s="238" t="str">
        <f>HYPERLINK("https://github.com/mostafa-saad/MyCompetitiveProgramming/blob/master/UVA/UVA_259.txt","Sol")</f>
        <v>Sol</v>
      </c>
    </row>
    <row r="141">
      <c r="A141" s="348"/>
      <c r="B141" s="370" t="str">
        <f>HYPERLINK("https://uva.onlinejudge.org/index.php?option=onlinejudge&amp;page=show_problem&amp;problem=1290","UVA 10349")</f>
        <v>UVA 10349</v>
      </c>
      <c r="C141" s="185"/>
      <c r="D141" s="185"/>
      <c r="E141" s="185"/>
      <c r="F141" s="185"/>
      <c r="G141" s="185"/>
      <c r="H141" s="186"/>
      <c r="I141" s="81">
        <f t="shared" si="1"/>
        <v>0</v>
      </c>
      <c r="J141" s="86"/>
      <c r="K141" s="80"/>
      <c r="L141" s="50"/>
      <c r="M141" s="238" t="str">
        <f>HYPERLINK("https://github.com/mostafa-saad/MyCompetitiveProgramming/blob/master/UVA/UVA_10349.txt","Sol - 2 ways")</f>
        <v>Sol - 2 ways</v>
      </c>
    </row>
    <row r="142">
      <c r="A142" s="348"/>
      <c r="B142" s="371" t="s">
        <v>1081</v>
      </c>
      <c r="C142" s="185"/>
      <c r="D142" s="185"/>
      <c r="E142" s="185"/>
      <c r="F142" s="185"/>
      <c r="G142" s="185"/>
      <c r="H142" s="186"/>
      <c r="I142" s="81">
        <f t="shared" si="1"/>
        <v>0</v>
      </c>
      <c r="J142" s="86"/>
      <c r="K142" s="80"/>
      <c r="L142" s="50"/>
      <c r="M142" s="238" t="str">
        <f>HYPERLINK("https://github.com/BRAINOOOO/CompetitiveProgramming/blob/master/UVA/V-121/UVA%2012168.Cpp","Sol")</f>
        <v>Sol</v>
      </c>
    </row>
    <row r="143">
      <c r="A143" s="348" t="s">
        <v>1082</v>
      </c>
      <c r="B143" s="223" t="str">
        <f>HYPERLINK("https://uva.onlinejudge.org/index.php?option=onlinejudge&amp;page=show_problem&amp;problem=694","UVA 753")</f>
        <v>UVA 753</v>
      </c>
      <c r="C143" s="185"/>
      <c r="D143" s="185"/>
      <c r="E143" s="185"/>
      <c r="F143" s="185"/>
      <c r="G143" s="185"/>
      <c r="H143" s="186"/>
      <c r="I143" s="81">
        <f t="shared" si="1"/>
        <v>0</v>
      </c>
      <c r="J143" s="86"/>
      <c r="K143" s="80"/>
      <c r="L143" s="50"/>
      <c r="M143" s="238" t="str">
        <f>HYPERLINK("https://github.com/BRAINOOOO/CompetitiveProgramming/blob/master/UVA/V-7/UVA%20753.Cpp","Sol")</f>
        <v>Sol</v>
      </c>
    </row>
    <row r="144">
      <c r="A144" s="348"/>
      <c r="B144" s="372" t="str">
        <f>HYPERLINK("https://uva.onlinejudge.org/index.php?option=onlinejudge&amp;page=show_problem&amp;problem=1290","UVA 10349")</f>
        <v>UVA 10349</v>
      </c>
      <c r="C144" s="185"/>
      <c r="D144" s="185"/>
      <c r="E144" s="185"/>
      <c r="F144" s="185"/>
      <c r="G144" s="185"/>
      <c r="H144" s="186"/>
      <c r="I144" s="81">
        <f t="shared" si="1"/>
        <v>0</v>
      </c>
      <c r="J144" s="86"/>
      <c r="K144" s="80"/>
      <c r="L144" s="50"/>
      <c r="M144" s="238" t="str">
        <f>HYPERLINK("https://github.com/mostafa-saad/MyCompetitiveProgramming/blob/master/UVA/UVA_10349.txt","Sol - 2 ways")</f>
        <v>Sol - 2 ways</v>
      </c>
    </row>
    <row r="145">
      <c r="A145" s="348" t="s">
        <v>1083</v>
      </c>
      <c r="B145" s="373" t="str">
        <f>HYPERLINK("http://www.spoj.com/problems/IM","SPOJ IM")</f>
        <v>SPOJ IM</v>
      </c>
      <c r="C145" s="185"/>
      <c r="D145" s="185"/>
      <c r="E145" s="185"/>
      <c r="F145" s="185"/>
      <c r="G145" s="185"/>
      <c r="H145" s="186"/>
      <c r="I145" s="81">
        <f t="shared" si="1"/>
        <v>0</v>
      </c>
      <c r="J145" s="86"/>
      <c r="K145" s="80"/>
      <c r="L145" s="50"/>
      <c r="M145" s="238" t="str">
        <f>HYPERLINK("https://github.com/mostafa-saad/MyCompetitiveProgramming/blob/master/SPOJ/SPOJ_IM.txt","Sol")</f>
        <v>Sol</v>
      </c>
    </row>
    <row r="146">
      <c r="A146" s="348"/>
      <c r="B146" s="372" t="str">
        <f>HYPERLINK("https://uva.onlinejudge.org/index.php?option=com_onlinejudge&amp;Itemid=8&amp;page=show_problem&amp;problem=2100","UVA 11159")</f>
        <v>UVA 11159</v>
      </c>
      <c r="C146" s="185"/>
      <c r="D146" s="185"/>
      <c r="E146" s="185"/>
      <c r="F146" s="185"/>
      <c r="G146" s="185"/>
      <c r="H146" s="186"/>
      <c r="I146" s="81">
        <f t="shared" si="1"/>
        <v>0</v>
      </c>
      <c r="J146" s="86"/>
      <c r="K146" s="80"/>
      <c r="L146" s="50"/>
      <c r="M146" s="238" t="str">
        <f>HYPERLINK("https://github.com/mostafa-saad/MyCompetitiveProgramming/blob/master/UVA/UVA_11159.txt","Sol")</f>
        <v>Sol</v>
      </c>
    </row>
    <row r="147">
      <c r="A147" s="348"/>
      <c r="B147" s="371" t="s">
        <v>1084</v>
      </c>
      <c r="C147" s="185"/>
      <c r="D147" s="185"/>
      <c r="E147" s="185"/>
      <c r="F147" s="185"/>
      <c r="G147" s="185"/>
      <c r="H147" s="186"/>
      <c r="I147" s="81">
        <f t="shared" si="1"/>
        <v>0</v>
      </c>
      <c r="J147" s="86"/>
      <c r="K147" s="80"/>
      <c r="L147" s="50"/>
      <c r="M147" s="238" t="str">
        <f>HYPERLINK("https://github.com/ilyesG/Competitive-Programming/blob/master/UVA/UVA%201194.cpp","Sol")</f>
        <v>Sol</v>
      </c>
    </row>
    <row r="148">
      <c r="A148" s="307" t="s">
        <v>1085</v>
      </c>
      <c r="B148" s="374" t="str">
        <f>HYPERLINK("http://poj.org/problem?id=2374","PKU 2374")</f>
        <v>PKU 2374</v>
      </c>
      <c r="C148" s="185"/>
      <c r="D148" s="185"/>
      <c r="E148" s="185"/>
      <c r="F148" s="185"/>
      <c r="G148" s="185"/>
      <c r="H148" s="186"/>
      <c r="I148" s="81">
        <f t="shared" si="1"/>
        <v>0</v>
      </c>
      <c r="J148" s="117"/>
      <c r="K148" s="116"/>
      <c r="M148" s="238" t="str">
        <f>HYPERLINK("https://github.com/mostafa-saad/MyCompetitiveProgramming/blob/master/PKU/PKU_2374.txt","Sol")</f>
        <v>Sol</v>
      </c>
    </row>
    <row r="149">
      <c r="A149" s="310" t="s">
        <v>1086</v>
      </c>
      <c r="B149" s="307" t="s">
        <v>1087</v>
      </c>
      <c r="C149" s="185"/>
      <c r="D149" s="185"/>
      <c r="E149" s="185"/>
      <c r="F149" s="185"/>
      <c r="G149" s="185"/>
      <c r="H149" s="186"/>
      <c r="I149" s="81">
        <f t="shared" si="1"/>
        <v>0</v>
      </c>
      <c r="J149" s="117"/>
      <c r="K149" s="116"/>
      <c r="M149" s="238" t="str">
        <f>HYPERLINK("https://github.com/mostafa-saad/MyCompetitiveProgramming/blob/master/UVA/UVA_10514.txt","Sol")</f>
        <v>Sol</v>
      </c>
    </row>
    <row r="150">
      <c r="A150" s="291"/>
      <c r="B150" s="307" t="s">
        <v>1088</v>
      </c>
      <c r="C150" s="185"/>
      <c r="D150" s="185"/>
      <c r="E150" s="185"/>
      <c r="F150" s="185"/>
      <c r="G150" s="185"/>
      <c r="H150" s="186"/>
      <c r="I150" s="81">
        <f t="shared" si="1"/>
        <v>0</v>
      </c>
      <c r="J150" s="117"/>
      <c r="K150" s="116"/>
      <c r="M150" s="238" t="str">
        <f>HYPERLINK("https://github.com/AbdelrahmanRamadan/competitive-programming/blob/master/Topcoder/SRM368%20Jumping%20Board.cpp","Sol")</f>
        <v>Sol</v>
      </c>
    </row>
    <row r="151">
      <c r="A151" s="291"/>
      <c r="B151" s="307" t="s">
        <v>1089</v>
      </c>
      <c r="C151" s="185"/>
      <c r="D151" s="185"/>
      <c r="E151" s="185"/>
      <c r="F151" s="185"/>
      <c r="G151" s="185"/>
      <c r="H151" s="186"/>
      <c r="I151" s="81">
        <f t="shared" si="1"/>
        <v>0</v>
      </c>
      <c r="J151" s="117"/>
      <c r="K151" s="116"/>
      <c r="M151" s="238" t="str">
        <f>HYPERLINK("https://github.com/AbdelrahmanRamadan/competitive-programming/blob/master/Topcoder/SRM373%20RectangleCrossings.cpp","Sol")</f>
        <v>Sol</v>
      </c>
    </row>
    <row r="152">
      <c r="A152" s="291"/>
      <c r="B152" s="291" t="s">
        <v>1090</v>
      </c>
      <c r="C152" s="185"/>
      <c r="D152" s="185"/>
      <c r="E152" s="185"/>
      <c r="F152" s="185"/>
      <c r="G152" s="185"/>
      <c r="H152" s="186"/>
      <c r="I152" s="81">
        <f t="shared" si="1"/>
        <v>0</v>
      </c>
      <c r="J152" s="47"/>
      <c r="K152" s="50"/>
      <c r="L152" s="50"/>
      <c r="M152" s="272" t="str">
        <f>HYPERLINK("https://github.com/WaleedAbdelhakim/Competitive-Programming/blob/master/ZOJ/2587.cpp","Sol")</f>
        <v>Sol</v>
      </c>
    </row>
    <row r="153">
      <c r="A153" s="291"/>
      <c r="B153" s="310" t="s">
        <v>1091</v>
      </c>
      <c r="C153" s="185"/>
      <c r="D153" s="185"/>
      <c r="E153" s="185"/>
      <c r="F153" s="185"/>
      <c r="G153" s="185"/>
      <c r="H153" s="186"/>
      <c r="I153" s="81">
        <f t="shared" si="1"/>
        <v>0</v>
      </c>
      <c r="J153" s="117"/>
      <c r="K153" s="116"/>
      <c r="L153" s="50"/>
      <c r="M153" s="238" t="str">
        <f>HYPERLINK("https://github.com/OmarHashim/Competitive-Programming/blob/master/UVA/10180.cpp","Sol")</f>
        <v>Sol</v>
      </c>
    </row>
    <row r="154">
      <c r="A154" s="291"/>
      <c r="B154" s="310" t="s">
        <v>1092</v>
      </c>
      <c r="C154" s="185"/>
      <c r="D154" s="185"/>
      <c r="E154" s="185"/>
      <c r="F154" s="185"/>
      <c r="G154" s="185"/>
      <c r="H154" s="186"/>
      <c r="I154" s="81">
        <f t="shared" si="1"/>
        <v>0</v>
      </c>
      <c r="J154" s="117"/>
      <c r="K154" s="116"/>
      <c r="L154" s="50"/>
      <c r="M154" s="214" t="str">
        <f>HYPERLINK("https://github.com/AhmedRamadanAbdElghany/CompetitiveProgramming/blob/master/UVA/1184.cpp","Sol")</f>
        <v>Sol</v>
      </c>
    </row>
    <row r="155">
      <c r="A155" s="291"/>
      <c r="B155" s="310" t="s">
        <v>1093</v>
      </c>
      <c r="C155" s="185"/>
      <c r="D155" s="185"/>
      <c r="E155" s="185"/>
      <c r="F155" s="185"/>
      <c r="G155" s="185"/>
      <c r="H155" s="186"/>
      <c r="I155" s="81">
        <f t="shared" si="1"/>
        <v>0</v>
      </c>
      <c r="J155" s="117"/>
      <c r="K155" s="116"/>
      <c r="L155" s="50"/>
      <c r="M155" s="214" t="str">
        <f>HYPERLINK("https://github.com/tanmoy13/CompetitveProgramming/blob/master/Online-Judge-Solutions/UVA/670%20-%20The%20dog%20task.cpp","Sol")</f>
        <v>Sol</v>
      </c>
    </row>
    <row r="156">
      <c r="A156" s="291"/>
      <c r="B156" s="310" t="s">
        <v>1094</v>
      </c>
      <c r="C156" s="185"/>
      <c r="D156" s="185"/>
      <c r="E156" s="185"/>
      <c r="F156" s="185"/>
      <c r="G156" s="185"/>
      <c r="H156" s="186"/>
      <c r="I156" s="81">
        <f t="shared" si="1"/>
        <v>0</v>
      </c>
      <c r="J156" s="117"/>
      <c r="K156" s="116"/>
      <c r="L156" s="50"/>
      <c r="M156" s="87"/>
    </row>
    <row r="157">
      <c r="A157" s="291"/>
      <c r="B157" s="310" t="s">
        <v>1095</v>
      </c>
      <c r="C157" s="185"/>
      <c r="D157" s="185"/>
      <c r="E157" s="185"/>
      <c r="F157" s="185"/>
      <c r="G157" s="185"/>
      <c r="H157" s="186"/>
      <c r="I157" s="81">
        <f t="shared" si="1"/>
        <v>0</v>
      </c>
      <c r="J157" s="117"/>
      <c r="K157" s="116"/>
      <c r="L157" s="50"/>
      <c r="M157" s="87"/>
    </row>
    <row r="158">
      <c r="A158" s="291"/>
      <c r="B158" s="310" t="s">
        <v>1096</v>
      </c>
      <c r="C158" s="185"/>
      <c r="D158" s="185"/>
      <c r="E158" s="185"/>
      <c r="F158" s="185"/>
      <c r="G158" s="185"/>
      <c r="H158" s="186"/>
      <c r="I158" s="81">
        <f t="shared" si="1"/>
        <v>0</v>
      </c>
      <c r="J158" s="117"/>
      <c r="K158" s="116"/>
      <c r="L158" s="50"/>
      <c r="M158" s="50"/>
    </row>
  </sheetData>
  <conditionalFormatting sqref="K3:K158">
    <cfRule type="cellIs" dxfId="5" priority="1" operator="equal">
      <formula>"No"</formula>
    </cfRule>
  </conditionalFormatting>
  <conditionalFormatting sqref="K3:K158">
    <cfRule type="cellIs" dxfId="5" priority="2" operator="equal">
      <formula>"no"</formula>
    </cfRule>
  </conditionalFormatting>
  <conditionalFormatting sqref="K3:K158">
    <cfRule type="cellIs" dxfId="5" priority="3" operator="equal">
      <formula>"NO"</formula>
    </cfRule>
  </conditionalFormatting>
  <conditionalFormatting sqref="C3:C158 A131 A136:B136">
    <cfRule type="cellIs" dxfId="0" priority="4" operator="equal">
      <formula>"AC"</formula>
    </cfRule>
  </conditionalFormatting>
  <conditionalFormatting sqref="C3:C158 A131 A136:B136">
    <cfRule type="containsText" dxfId="1" priority="5" operator="containsText" text="WA">
      <formula>NOT(ISERROR(SEARCH(("WA"),(C3))))</formula>
    </cfRule>
  </conditionalFormatting>
  <conditionalFormatting sqref="C10:C158 A131 A136:B136">
    <cfRule type="containsText" dxfId="1" priority="6" operator="containsText" text="WA">
      <formula>NOT(ISERROR(SEARCH(("WA"),(C10))))</formula>
    </cfRule>
  </conditionalFormatting>
  <conditionalFormatting sqref="C3:C158 A131 A136:B136">
    <cfRule type="containsText" dxfId="2" priority="7" operator="containsText" text="TLE">
      <formula>NOT(ISERROR(SEARCH(("TLE"),(C3))))</formula>
    </cfRule>
  </conditionalFormatting>
  <conditionalFormatting sqref="C10:C158 A131 A136:B136">
    <cfRule type="containsText" dxfId="2" priority="8" operator="containsText" text="TLE">
      <formula>NOT(ISERROR(SEARCH(("TLE"),(C10))))</formula>
    </cfRule>
  </conditionalFormatting>
  <conditionalFormatting sqref="C3:C158 A131 A136:B136">
    <cfRule type="containsText" dxfId="3" priority="9" operator="containsText" text="RTE">
      <formula>NOT(ISERROR(SEARCH(("RTE"),(C3))))</formula>
    </cfRule>
  </conditionalFormatting>
  <conditionalFormatting sqref="C10:C158 A131 A136:B136">
    <cfRule type="containsText" dxfId="3" priority="10" operator="containsText" text="RTE">
      <formula>NOT(ISERROR(SEARCH(("RTE"),(C10))))</formula>
    </cfRule>
  </conditionalFormatting>
  <conditionalFormatting sqref="C3:C158 A131 A136:B136">
    <cfRule type="containsText" dxfId="4" priority="11" operator="containsText" text="CS">
      <formula>NOT(ISERROR(SEARCH(("CS"),(C3))))</formula>
    </cfRule>
  </conditionalFormatting>
  <conditionalFormatting sqref="C10:C158 A131 A136:B136">
    <cfRule type="containsText" dxfId="4"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5.43"/>
  </cols>
  <sheetData>
    <row r="1">
      <c r="A1" s="182" t="s">
        <v>143</v>
      </c>
      <c r="B1" s="67" t="s">
        <v>144</v>
      </c>
      <c r="C1" s="68" t="s">
        <v>145</v>
      </c>
      <c r="D1" s="69" t="s">
        <v>146</v>
      </c>
      <c r="E1" s="69" t="s">
        <v>147</v>
      </c>
      <c r="F1" s="68" t="s">
        <v>148</v>
      </c>
      <c r="G1" s="69" t="s">
        <v>149</v>
      </c>
      <c r="H1" s="69" t="s">
        <v>150</v>
      </c>
      <c r="I1" s="69" t="s">
        <v>151</v>
      </c>
      <c r="J1" s="68" t="s">
        <v>152</v>
      </c>
      <c r="K1" s="68" t="s">
        <v>153</v>
      </c>
      <c r="L1" s="68" t="s">
        <v>154</v>
      </c>
      <c r="M1" s="70" t="s">
        <v>155</v>
      </c>
    </row>
    <row r="2">
      <c r="A2" s="183"/>
      <c r="B2" s="184" t="s">
        <v>156</v>
      </c>
      <c r="C2" s="73">
        <f>countif(C3:C10556, "AC")</f>
        <v>0</v>
      </c>
      <c r="D2" s="74">
        <f>ROUND(SUMPRODUCT(D3:D10556,INT(EQ(C3:C10556, "AC")))/MAX(1, C2),1)</f>
        <v>0</v>
      </c>
      <c r="E2" s="74">
        <f>ROUND(SUMPRODUCT(E3:E10578,INT(EQ(C3:C10578, "AC")))/MAX(1, C2),0)</f>
        <v>0</v>
      </c>
      <c r="F2" s="74">
        <f>ROUND(SUMPRODUCT(F3:F10581,INT(EQ(C3:C10581, "AC")))/MAX(1, C2),0)</f>
        <v>0</v>
      </c>
      <c r="G2" s="74">
        <f>ROUND(SUMPRODUCT(G3:G10581,INT(EQ(C3:C10581, "AC")))/MAX(1, C2),0)</f>
        <v>0</v>
      </c>
      <c r="H2" s="74">
        <f>ROUND(SUMPRODUCT(H3:H10581,INT(EQ(C3:C10581, "AC")))/MAX(1, C2),0)</f>
        <v>0</v>
      </c>
      <c r="I2" s="74">
        <f>ROUND(SUMPRODUCT(I3:I10553,INT(EQ(C3:C10553, "AC")))/MAX(1, C2),0)</f>
        <v>0</v>
      </c>
      <c r="J2" s="74">
        <f>ROUND(SUMPRODUCT(J3:J10551,INT(EQ(C3:C10551, "AC")))/MAX(1, C2),1)</f>
        <v>0</v>
      </c>
      <c r="K2" s="74">
        <f>SUMPRODUCT(EQ(K3:K10556, "YES"),INT(EQ(C3:C10581, "AC")))</f>
        <v>0</v>
      </c>
      <c r="L2" s="75">
        <f>IFERROR(__xludf.DUMMYFUNCTION("COUNTA(FILTER(C3:C10048, NOT(REGEXMATCH(C3:C10048, ""AC""))))"),0.0)</f>
        <v>0</v>
      </c>
      <c r="M2" s="76">
        <f>IFERROR(__xludf.DUMMYFUNCTION("COUNTA(FILTER(C3:C10042, NOT(REGEXMATCH(C3:C10042, ""AC""))))"),0.0)</f>
        <v>0</v>
      </c>
    </row>
    <row r="3">
      <c r="C3" s="185"/>
      <c r="D3" s="185"/>
      <c r="E3" s="185"/>
      <c r="F3" s="185"/>
      <c r="G3" s="185"/>
      <c r="H3" s="186"/>
      <c r="I3" s="81">
        <f t="shared" ref="I3:I168" si="1">SUM(E3:H3)</f>
        <v>0</v>
      </c>
      <c r="J3" s="86"/>
      <c r="K3" s="80"/>
      <c r="L3" s="185"/>
      <c r="M3" s="290" t="str">
        <f>HYPERLINK("https://www.youtube.com/watch?v=xVMe4JSEQo0&amp;index=14&amp;list=PLPt2dINI2MIb4OXlJ_EEwIDV9WVUpRQ5K","Graph Theory - SCC (2 vid)")</f>
        <v>Graph Theory - SCC (2 vid)</v>
      </c>
    </row>
    <row r="4">
      <c r="A4" s="304" t="s">
        <v>1097</v>
      </c>
      <c r="B4" s="344" t="str">
        <f>HYPERLINK("http://www.spoj.com/problems/BOTTOM/","SPOJ BOTTOM")</f>
        <v>SPOJ BOTTOM</v>
      </c>
      <c r="C4" s="185"/>
      <c r="D4" s="185"/>
      <c r="E4" s="185"/>
      <c r="F4" s="185"/>
      <c r="G4" s="185"/>
      <c r="H4" s="186"/>
      <c r="I4" s="81">
        <f t="shared" si="1"/>
        <v>0</v>
      </c>
      <c r="J4" s="86"/>
      <c r="K4" s="80"/>
      <c r="L4" s="50"/>
      <c r="M4" s="212" t="str">
        <f>HYPERLINK("https://github.com/BRAINOOOO/CompetitiveProgramming/blob/master/Spoj/SPOJ%20BOTTOM.Cpp","Sol")</f>
        <v>Sol</v>
      </c>
    </row>
    <row r="5">
      <c r="A5" s="345" t="s">
        <v>1098</v>
      </c>
      <c r="B5" s="375" t="str">
        <f>HYPERLINK("https://uva.onlinejudge.org/index.php?option=onlinejudge&amp;page=show_problem&amp;problem=1672","UVA 10731")</f>
        <v>UVA 10731</v>
      </c>
      <c r="C5" s="185"/>
      <c r="D5" s="185"/>
      <c r="E5" s="185"/>
      <c r="F5" s="185"/>
      <c r="G5" s="185"/>
      <c r="H5" s="186"/>
      <c r="I5" s="81">
        <f t="shared" si="1"/>
        <v>0</v>
      </c>
      <c r="J5" s="117"/>
      <c r="K5" s="116"/>
      <c r="L5" s="50"/>
      <c r="M5" s="212" t="str">
        <f>HYPERLINK("https://github.com/goar5670/CompetitiveProgramming/blob/master/UVA%2010731.cpp","Sol")</f>
        <v>Sol</v>
      </c>
    </row>
    <row r="6">
      <c r="A6" s="345"/>
      <c r="B6" s="345" t="s">
        <v>1099</v>
      </c>
      <c r="C6" s="185"/>
      <c r="D6" s="185"/>
      <c r="E6" s="185"/>
      <c r="F6" s="185"/>
      <c r="G6" s="185"/>
      <c r="H6" s="186"/>
      <c r="I6" s="81">
        <f t="shared" si="1"/>
        <v>0</v>
      </c>
      <c r="J6" s="47"/>
      <c r="K6" s="50"/>
      <c r="L6" s="50"/>
    </row>
    <row r="7">
      <c r="A7" s="345"/>
      <c r="B7" s="376" t="str">
        <f>HYPERLINK("http://codeforces.com/contest/467/problem/D","CF467-D2-D")</f>
        <v>CF467-D2-D</v>
      </c>
      <c r="C7" s="185"/>
      <c r="D7" s="185"/>
      <c r="E7" s="185"/>
      <c r="F7" s="185"/>
      <c r="G7" s="185"/>
      <c r="H7" s="186"/>
      <c r="I7" s="81">
        <f t="shared" si="1"/>
        <v>0</v>
      </c>
      <c r="J7" s="47"/>
      <c r="K7" s="50"/>
      <c r="L7" s="50"/>
    </row>
    <row r="8">
      <c r="A8" s="307" t="s">
        <v>1100</v>
      </c>
      <c r="B8" s="377" t="str">
        <f>HYPERLINK("http://codeforces.com/contest/676/problem/D","CF676-D2-D")</f>
        <v>CF676-D2-D</v>
      </c>
      <c r="C8" s="185"/>
      <c r="D8" s="185"/>
      <c r="E8" s="185"/>
      <c r="F8" s="185"/>
      <c r="G8" s="185"/>
      <c r="H8" s="186"/>
      <c r="I8" s="81">
        <f t="shared" si="1"/>
        <v>0</v>
      </c>
      <c r="J8" s="117"/>
      <c r="K8" s="116"/>
      <c r="L8" s="50"/>
    </row>
    <row r="9">
      <c r="A9" s="307" t="s">
        <v>1101</v>
      </c>
      <c r="B9" s="378" t="str">
        <f>HYPERLINK("http://codeforces.com/contest/418/problem/B","CF418-D1-B")</f>
        <v>CF418-D1-B</v>
      </c>
      <c r="C9" s="185"/>
      <c r="D9" s="185"/>
      <c r="E9" s="185"/>
      <c r="F9" s="185"/>
      <c r="G9" s="185"/>
      <c r="H9" s="186"/>
      <c r="I9" s="81">
        <f t="shared" si="1"/>
        <v>0</v>
      </c>
      <c r="J9" s="86"/>
      <c r="K9" s="80"/>
      <c r="L9" s="50"/>
    </row>
    <row r="10">
      <c r="A10" s="307" t="s">
        <v>1102</v>
      </c>
      <c r="B10" s="378" t="str">
        <f>HYPERLINK("https://uva.onlinejudge.org/index.php?option=onlinejudge&amp;page=show_problem&amp;problem=1421","UVA 10480")</f>
        <v>UVA 10480</v>
      </c>
      <c r="C10" s="185"/>
      <c r="D10" s="185"/>
      <c r="E10" s="185"/>
      <c r="F10" s="185"/>
      <c r="G10" s="185"/>
      <c r="H10" s="186"/>
      <c r="I10" s="81">
        <f t="shared" si="1"/>
        <v>0</v>
      </c>
      <c r="J10" s="86"/>
      <c r="K10" s="80"/>
      <c r="L10" s="50"/>
      <c r="M10" s="212" t="str">
        <f>HYPERLINK("https://github.com/abdullaAshraf/Problem-Solving/blob/master/UVA/10480.cpp","Sol")</f>
        <v>Sol</v>
      </c>
    </row>
    <row r="11">
      <c r="A11" s="291"/>
      <c r="B11" s="307" t="s">
        <v>1103</v>
      </c>
      <c r="C11" s="185"/>
      <c r="D11" s="185"/>
      <c r="E11" s="185"/>
      <c r="F11" s="185"/>
      <c r="G11" s="185"/>
      <c r="H11" s="186"/>
      <c r="I11" s="81">
        <f t="shared" si="1"/>
        <v>0</v>
      </c>
      <c r="J11" s="86"/>
      <c r="K11" s="80"/>
      <c r="L11" s="50"/>
    </row>
    <row r="12">
      <c r="A12" s="379" t="s">
        <v>537</v>
      </c>
      <c r="B12" s="380" t="str">
        <f>HYPERLINK("https://uva.onlinejudge.org/index.php?option=onlinejudge&amp;page=show_problem&amp;problem=4330","UVA 1555")</f>
        <v>UVA 1555</v>
      </c>
      <c r="C12" s="185"/>
      <c r="D12" s="185"/>
      <c r="E12" s="185"/>
      <c r="F12" s="185"/>
      <c r="G12" s="185"/>
      <c r="H12" s="186"/>
      <c r="I12" s="81">
        <f t="shared" si="1"/>
        <v>0</v>
      </c>
      <c r="J12" s="117"/>
      <c r="K12" s="116"/>
      <c r="L12" s="50"/>
      <c r="M12" s="212" t="str">
        <f>HYPERLINK("https://github.com/achrafmam2/CompetitiveProgramming/blob/master/UVA/1555.cc","Sol")</f>
        <v>Sol</v>
      </c>
    </row>
    <row r="13">
      <c r="A13" s="379"/>
      <c r="B13" s="381" t="str">
        <f>HYPERLINK("http://codeforces.com/gym/101589/problem/F","CF101589-GYM-F")</f>
        <v>CF101589-GYM-F</v>
      </c>
      <c r="C13" s="185"/>
      <c r="D13" s="185"/>
      <c r="E13" s="185"/>
      <c r="F13" s="185"/>
      <c r="G13" s="185"/>
      <c r="H13" s="186"/>
      <c r="I13" s="81">
        <f t="shared" si="1"/>
        <v>0</v>
      </c>
      <c r="J13" s="117"/>
      <c r="K13" s="116"/>
      <c r="L13" s="50"/>
      <c r="M13" s="212" t="str">
        <f>HYPERLINK("https://github.com/SpeedOfMagic/CompetitiveProgramming/blob/master/CodeforcesGym/CF101589-GYM-F.cpp","Sol")</f>
        <v>Sol</v>
      </c>
    </row>
    <row r="14">
      <c r="A14" s="379"/>
      <c r="B14" s="381" t="str">
        <f>HYPERLINK("http://codeforces.com/problemset/problem/1016/D","CF1016-D12-D")</f>
        <v>CF1016-D12-D</v>
      </c>
      <c r="C14" s="185"/>
      <c r="D14" s="185"/>
      <c r="E14" s="185"/>
      <c r="F14" s="185"/>
      <c r="G14" s="185"/>
      <c r="H14" s="186"/>
      <c r="I14" s="81">
        <f t="shared" si="1"/>
        <v>0</v>
      </c>
      <c r="J14" s="117"/>
      <c r="K14" s="116"/>
      <c r="L14" s="50"/>
    </row>
    <row r="15">
      <c r="A15" s="379"/>
      <c r="B15" s="381" t="str">
        <f>HYPERLINK("http://codeforces.com/contest/26/problem/D","CF26-D12-D")</f>
        <v>CF26-D12-D</v>
      </c>
      <c r="C15" s="185"/>
      <c r="D15" s="185"/>
      <c r="E15" s="185"/>
      <c r="F15" s="185"/>
      <c r="G15" s="185"/>
      <c r="H15" s="186"/>
      <c r="I15" s="81">
        <f t="shared" si="1"/>
        <v>0</v>
      </c>
      <c r="J15" s="117"/>
      <c r="K15" s="116"/>
      <c r="L15" s="50"/>
      <c r="M15" s="212" t="str">
        <f>HYPERLINK("https://github.com/mostafa-saad/MyCompetitiveProgramming/blob/master/Codeforces/CF26-D12-D.txt","Sol - must read")</f>
        <v>Sol - must read</v>
      </c>
    </row>
    <row r="16">
      <c r="A16" s="379"/>
      <c r="B16" s="381" t="str">
        <f>HYPERLINK("http://codeforces.com/contest/1012/problem/B","CF1012-D1-B")</f>
        <v>CF1012-D1-B</v>
      </c>
      <c r="C16" s="185"/>
      <c r="D16" s="185"/>
      <c r="E16" s="185"/>
      <c r="F16" s="185"/>
      <c r="G16" s="185"/>
      <c r="H16" s="186"/>
      <c r="I16" s="81">
        <f t="shared" si="1"/>
        <v>0</v>
      </c>
      <c r="J16" s="117"/>
      <c r="K16" s="116"/>
      <c r="L16" s="50"/>
    </row>
    <row r="17">
      <c r="A17" s="379"/>
      <c r="B17" s="381" t="str">
        <f>HYPERLINK("http://codeforces.com/contest/1010/problem/C","CF1010-D1-C")</f>
        <v>CF1010-D1-C</v>
      </c>
      <c r="C17" s="185"/>
      <c r="D17" s="185"/>
      <c r="E17" s="185"/>
      <c r="F17" s="185"/>
      <c r="G17" s="185"/>
      <c r="H17" s="186"/>
      <c r="I17" s="81">
        <f t="shared" si="1"/>
        <v>0</v>
      </c>
      <c r="J17" s="117"/>
      <c r="K17" s="116"/>
      <c r="L17" s="50"/>
    </row>
    <row r="18">
      <c r="A18" s="379"/>
      <c r="B18" s="381" t="str">
        <f>HYPERLINK("http://codeforces.com/contest/633/problem/D","CF633-D12-D")</f>
        <v>CF633-D12-D</v>
      </c>
      <c r="C18" s="185"/>
      <c r="D18" s="185"/>
      <c r="E18" s="185"/>
      <c r="F18" s="185"/>
      <c r="G18" s="185"/>
      <c r="H18" s="186"/>
      <c r="I18" s="81">
        <f t="shared" si="1"/>
        <v>0</v>
      </c>
      <c r="J18" s="117"/>
      <c r="K18" s="116"/>
      <c r="L18" s="50"/>
    </row>
    <row r="19">
      <c r="A19" s="379"/>
      <c r="B19" s="381" t="str">
        <f>HYPERLINK("https://www.hackerrank.com/challenges/house-location","HACKR house-location")</f>
        <v>HACKR house-location</v>
      </c>
      <c r="C19" s="185"/>
      <c r="D19" s="185"/>
      <c r="E19" s="185"/>
      <c r="F19" s="185"/>
      <c r="G19" s="185"/>
      <c r="H19" s="186"/>
      <c r="I19" s="81">
        <f t="shared" si="1"/>
        <v>0</v>
      </c>
      <c r="J19" s="117"/>
      <c r="K19" s="116"/>
      <c r="L19" s="50"/>
      <c r="M19" s="212" t="str">
        <f>HYPERLINK("https://github.com/arvindr9/CompetitiveProgramming/blob/master/Hackerrank/HACKR%20house-location.cpp","Sol")</f>
        <v>Sol</v>
      </c>
    </row>
    <row r="20">
      <c r="A20" s="379"/>
      <c r="B20" s="381" t="str">
        <f>HYPERLINK("http://codeforces.com/contest/621/problem/D","CF621-D2-D")</f>
        <v>CF621-D2-D</v>
      </c>
      <c r="C20" s="185"/>
      <c r="D20" s="185"/>
      <c r="E20" s="185"/>
      <c r="F20" s="185"/>
      <c r="G20" s="185"/>
      <c r="H20" s="186"/>
      <c r="I20" s="81">
        <f t="shared" si="1"/>
        <v>0</v>
      </c>
      <c r="J20" s="117"/>
      <c r="K20" s="116"/>
      <c r="L20" s="50"/>
      <c r="M20" s="212" t="str">
        <f>HYPERLINK("https://github.com/MedoN11/CompetitiveProgramming/blob/master/CodeForces/CF621-D2-D-Complex.cpp","Sol")</f>
        <v>Sol</v>
      </c>
    </row>
    <row r="21">
      <c r="A21" s="379"/>
      <c r="B21" s="381" t="str">
        <f>HYPERLINK("https://codeforces.com/gym/101992/problem/D","CF101992-GYM-D")</f>
        <v>CF101992-GYM-D</v>
      </c>
      <c r="C21" s="185"/>
      <c r="D21" s="185"/>
      <c r="E21" s="185"/>
      <c r="F21" s="185"/>
      <c r="G21" s="185"/>
      <c r="H21" s="186"/>
      <c r="I21" s="81">
        <f t="shared" si="1"/>
        <v>0</v>
      </c>
      <c r="J21" s="117"/>
      <c r="K21" s="116"/>
      <c r="L21" s="50"/>
      <c r="M21" s="212" t="str">
        <f>HYPERLINK("https://ideone.com/bDMQGD","Sol")</f>
        <v>Sol</v>
      </c>
    </row>
    <row r="22">
      <c r="A22" s="379"/>
      <c r="B22" s="379" t="s">
        <v>1104</v>
      </c>
      <c r="C22" s="185"/>
      <c r="D22" s="185"/>
      <c r="E22" s="185"/>
      <c r="F22" s="185"/>
      <c r="G22" s="185"/>
      <c r="H22" s="186"/>
      <c r="I22" s="81">
        <f t="shared" si="1"/>
        <v>0</v>
      </c>
      <c r="J22" s="47"/>
      <c r="K22" s="50"/>
      <c r="L22" s="50"/>
      <c r="M22" s="212" t="str">
        <f>HYPERLINK("https://github.com/mostafa-saad/MyCompetitiveProgramming/blob/master/TopCoder/SRM608-D2-1000.txt","Sol")</f>
        <v>Sol</v>
      </c>
    </row>
    <row r="23">
      <c r="A23" s="192"/>
      <c r="C23" s="185"/>
      <c r="D23" s="185"/>
      <c r="E23" s="185"/>
      <c r="F23" s="185"/>
      <c r="G23" s="185"/>
      <c r="H23" s="186"/>
      <c r="I23" s="81">
        <f t="shared" si="1"/>
        <v>0</v>
      </c>
      <c r="J23" s="86"/>
      <c r="K23" s="80"/>
      <c r="L23" s="50"/>
    </row>
    <row r="24">
      <c r="A24" s="192" t="s">
        <v>1105</v>
      </c>
      <c r="B24" s="382" t="str">
        <f>HYPERLINK("http://codeforces.com/contest/681/problem/D","CF681-D2-D")</f>
        <v>CF681-D2-D</v>
      </c>
      <c r="C24" s="185"/>
      <c r="D24" s="185"/>
      <c r="E24" s="185"/>
      <c r="F24" s="185"/>
      <c r="G24" s="185"/>
      <c r="H24" s="186"/>
      <c r="I24" s="81">
        <f t="shared" si="1"/>
        <v>0</v>
      </c>
      <c r="J24" s="86"/>
      <c r="K24" s="80"/>
      <c r="L24" s="50"/>
    </row>
    <row r="25">
      <c r="A25" s="192" t="s">
        <v>1106</v>
      </c>
      <c r="B25" s="382" t="str">
        <f>HYPERLINK("http://codeforces.com/contest/447/problem/D","CF447-D2-D")</f>
        <v>CF447-D2-D</v>
      </c>
      <c r="C25" s="185"/>
      <c r="D25" s="185"/>
      <c r="E25" s="185"/>
      <c r="F25" s="185"/>
      <c r="G25" s="185"/>
      <c r="H25" s="186"/>
      <c r="I25" s="81">
        <f t="shared" si="1"/>
        <v>0</v>
      </c>
      <c r="J25" s="86"/>
      <c r="K25" s="80"/>
      <c r="M25" s="21" t="s">
        <v>1107</v>
      </c>
    </row>
    <row r="26">
      <c r="A26" s="192" t="s">
        <v>1108</v>
      </c>
      <c r="B26" s="382" t="str">
        <f>HYPERLINK("http://codeforces.com/contest/548/problem/D","CF548-D2-D")</f>
        <v>CF548-D2-D</v>
      </c>
      <c r="C26" s="185"/>
      <c r="D26" s="185"/>
      <c r="E26" s="185"/>
      <c r="F26" s="185"/>
      <c r="G26" s="185"/>
      <c r="H26" s="186"/>
      <c r="I26" s="81">
        <f t="shared" si="1"/>
        <v>0</v>
      </c>
      <c r="J26" s="86"/>
      <c r="K26" s="80"/>
    </row>
    <row r="27">
      <c r="A27" s="192" t="s">
        <v>1109</v>
      </c>
      <c r="B27" s="382" t="str">
        <f>HYPERLINK("http://codeforces.com/contest/435/problem/D","CF435-D2-D")</f>
        <v>CF435-D2-D</v>
      </c>
      <c r="C27" s="185"/>
      <c r="D27" s="185"/>
      <c r="E27" s="185"/>
      <c r="F27" s="185"/>
      <c r="G27" s="185"/>
      <c r="H27" s="186"/>
      <c r="I27" s="81">
        <f t="shared" si="1"/>
        <v>0</v>
      </c>
      <c r="J27" s="86"/>
      <c r="K27" s="80"/>
    </row>
    <row r="28">
      <c r="A28" s="192" t="s">
        <v>1110</v>
      </c>
      <c r="B28" s="382" t="str">
        <f>HYPERLINK("http://codeforces.com/contest/401/problem/D","CF401-D2-D")</f>
        <v>CF401-D2-D</v>
      </c>
      <c r="C28" s="185"/>
      <c r="D28" s="185"/>
      <c r="E28" s="185"/>
      <c r="F28" s="185"/>
      <c r="G28" s="185"/>
      <c r="H28" s="186"/>
      <c r="I28" s="81">
        <f t="shared" si="1"/>
        <v>0</v>
      </c>
      <c r="J28" s="86"/>
      <c r="K28" s="80"/>
    </row>
    <row r="29">
      <c r="A29" s="192" t="s">
        <v>1111</v>
      </c>
      <c r="B29" s="382" t="str">
        <f>HYPERLINK("http://codeforces.com/contest/707/problem/D","CF707-D2-D")</f>
        <v>CF707-D2-D</v>
      </c>
      <c r="C29" s="185"/>
      <c r="D29" s="185"/>
      <c r="E29" s="185"/>
      <c r="F29" s="185"/>
      <c r="G29" s="185"/>
      <c r="H29" s="186"/>
      <c r="I29" s="81">
        <f t="shared" si="1"/>
        <v>0</v>
      </c>
      <c r="J29" s="86"/>
      <c r="K29" s="80"/>
      <c r="M29" s="212" t="str">
        <f>HYPERLINK("https://github.com/AbdelrahmanRamadan/competitive-programming/blob/master/Codeforces/CF707-D2-D.cpp","Sol")</f>
        <v>Sol</v>
      </c>
    </row>
    <row r="30">
      <c r="A30" s="110" t="s">
        <v>1112</v>
      </c>
      <c r="B30" s="111" t="str">
        <f>HYPERLINK("http://codeforces.com/contest/550/problem/D","CF550-D2-D")</f>
        <v>CF550-D2-D</v>
      </c>
      <c r="C30" s="185"/>
      <c r="D30" s="185"/>
      <c r="E30" s="185"/>
      <c r="F30" s="185"/>
      <c r="G30" s="185"/>
      <c r="H30" s="186"/>
      <c r="I30" s="81">
        <f t="shared" si="1"/>
        <v>0</v>
      </c>
      <c r="J30" s="117"/>
      <c r="K30" s="116"/>
      <c r="M30" s="50"/>
    </row>
    <row r="31">
      <c r="A31" s="110"/>
      <c r="B31" s="111" t="str">
        <f>HYPERLINK("https://codeforces.com/contest/1059/problem/D","CF1059-D2-D")</f>
        <v>CF1059-D2-D</v>
      </c>
      <c r="C31" s="185"/>
      <c r="D31" s="185"/>
      <c r="E31" s="185"/>
      <c r="F31" s="185"/>
      <c r="G31" s="185"/>
      <c r="H31" s="186"/>
      <c r="I31" s="81">
        <f t="shared" si="1"/>
        <v>0</v>
      </c>
      <c r="J31" s="117"/>
      <c r="K31" s="116"/>
      <c r="M31" s="50"/>
    </row>
    <row r="32">
      <c r="A32" s="242" t="s">
        <v>1113</v>
      </c>
      <c r="B32" s="314" t="str">
        <f>HYPERLINK("http://codeforces.com/contest/255/problem/C","CF255-D2-C")</f>
        <v>CF255-D2-C</v>
      </c>
      <c r="C32" s="185"/>
      <c r="D32" s="185"/>
      <c r="E32" s="185"/>
      <c r="F32" s="185"/>
      <c r="G32" s="185"/>
      <c r="H32" s="186"/>
      <c r="I32" s="81">
        <f t="shared" si="1"/>
        <v>0</v>
      </c>
      <c r="J32" s="117"/>
      <c r="K32" s="116"/>
      <c r="M32" s="50"/>
    </row>
    <row r="33">
      <c r="A33" s="242" t="s">
        <v>1114</v>
      </c>
      <c r="B33" s="314" t="str">
        <f>HYPERLINK("http://codeforces.com/contest/59/problem/C","CF59-D2-C")</f>
        <v>CF59-D2-C</v>
      </c>
      <c r="C33" s="185"/>
      <c r="D33" s="185"/>
      <c r="E33" s="185"/>
      <c r="F33" s="185"/>
      <c r="G33" s="185"/>
      <c r="H33" s="186"/>
      <c r="I33" s="81">
        <f t="shared" si="1"/>
        <v>0</v>
      </c>
      <c r="J33" s="117"/>
      <c r="K33" s="116"/>
      <c r="M33" s="50"/>
    </row>
    <row r="34">
      <c r="A34" s="242" t="s">
        <v>1115</v>
      </c>
      <c r="B34" s="314" t="str">
        <f>HYPERLINK("http://codeforces.com/contest/495/problem/C","CF495-D2-C")</f>
        <v>CF495-D2-C</v>
      </c>
      <c r="C34" s="185"/>
      <c r="D34" s="185"/>
      <c r="E34" s="185"/>
      <c r="F34" s="185"/>
      <c r="G34" s="185"/>
      <c r="H34" s="186"/>
      <c r="I34" s="81">
        <f t="shared" si="1"/>
        <v>0</v>
      </c>
      <c r="J34" s="117"/>
      <c r="K34" s="116"/>
      <c r="M34" s="50"/>
    </row>
    <row r="35">
      <c r="A35" s="192"/>
      <c r="C35" s="185"/>
      <c r="D35" s="185"/>
      <c r="E35" s="185"/>
      <c r="F35" s="185"/>
      <c r="G35" s="185"/>
      <c r="H35" s="186"/>
      <c r="I35" s="81">
        <f t="shared" si="1"/>
        <v>0</v>
      </c>
      <c r="J35" s="86"/>
      <c r="K35" s="80"/>
      <c r="M35" s="50"/>
    </row>
    <row r="36">
      <c r="A36" s="346" t="s">
        <v>1116</v>
      </c>
      <c r="B36" s="383" t="str">
        <f>HYPERLINK("http://acm.zju.edu.cn/onlinejudge/showProblem.do?problemCode=2587","ZOJ 2587")</f>
        <v>ZOJ 2587</v>
      </c>
      <c r="C36" s="185"/>
      <c r="D36" s="185"/>
      <c r="E36" s="185"/>
      <c r="F36" s="185"/>
      <c r="G36" s="185"/>
      <c r="H36" s="186"/>
      <c r="I36" s="81">
        <f t="shared" si="1"/>
        <v>0</v>
      </c>
      <c r="J36" s="86"/>
      <c r="K36" s="80"/>
      <c r="M36" s="50"/>
    </row>
    <row r="37">
      <c r="A37" s="346" t="s">
        <v>1117</v>
      </c>
      <c r="B37" s="384" t="str">
        <f>HYPERLINK("http://www.spoj.com/problems/DCEPC12E","SPOJ DCEPC12E")</f>
        <v>SPOJ DCEPC12E</v>
      </c>
      <c r="C37" s="185"/>
      <c r="D37" s="185"/>
      <c r="E37" s="185"/>
      <c r="F37" s="185"/>
      <c r="G37" s="185"/>
      <c r="H37" s="186"/>
      <c r="I37" s="81">
        <f t="shared" si="1"/>
        <v>0</v>
      </c>
      <c r="J37" s="86"/>
      <c r="K37" s="80"/>
      <c r="M37" s="50"/>
    </row>
    <row r="38">
      <c r="A38" s="346" t="s">
        <v>1118</v>
      </c>
      <c r="B38" s="378" t="str">
        <f>HYPERLINK("https://uva.onlinejudge.org/index.php?option=onlinejudge&amp;page=show_problem&amp;problem=563","UVA 622")</f>
        <v>UVA 622</v>
      </c>
      <c r="C38" s="185"/>
      <c r="D38" s="185"/>
      <c r="E38" s="185"/>
      <c r="F38" s="185"/>
      <c r="G38" s="185"/>
      <c r="H38" s="186"/>
      <c r="I38" s="81">
        <f t="shared" si="1"/>
        <v>0</v>
      </c>
      <c r="J38" s="86"/>
      <c r="K38" s="80"/>
      <c r="M38" s="212" t="str">
        <f>HYPERLINK("https://github.com/mostafa-saad/MyCompetitiveProgramming/blob/master/UVA/622.cpp","Sol")</f>
        <v>Sol</v>
      </c>
    </row>
    <row r="39">
      <c r="A39" s="346" t="s">
        <v>1119</v>
      </c>
      <c r="B39" s="378" t="str">
        <f>HYPERLINK("https://uva.onlinejudge.org/index.php?option=com_onlinejudge&amp;Itemid=8&amp;page=show_problem&amp;problem=1052","UVA 10111")</f>
        <v>UVA 10111</v>
      </c>
      <c r="C39" s="185"/>
      <c r="D39" s="185"/>
      <c r="E39" s="185"/>
      <c r="F39" s="185"/>
      <c r="G39" s="185"/>
      <c r="H39" s="186"/>
      <c r="I39" s="81">
        <f t="shared" si="1"/>
        <v>0</v>
      </c>
      <c r="J39" s="86"/>
      <c r="K39" s="80"/>
      <c r="M39" s="212" t="str">
        <f>HYPERLINK("https://github.com/mostafa-saad/MyCompetitiveProgramming/blob/master/UVA/UVA_10111.txt","Sol")</f>
        <v>Sol</v>
      </c>
    </row>
    <row r="40">
      <c r="A40" s="346" t="s">
        <v>1120</v>
      </c>
      <c r="B40" s="385" t="str">
        <f>HYPERLINK("http://poj.org/problem?id=2151","PKU 2151")</f>
        <v>PKU 2151</v>
      </c>
      <c r="C40" s="185"/>
      <c r="D40" s="185"/>
      <c r="E40" s="185"/>
      <c r="F40" s="185"/>
      <c r="G40" s="185"/>
      <c r="H40" s="186"/>
      <c r="I40" s="81">
        <f t="shared" si="1"/>
        <v>0</v>
      </c>
      <c r="J40" s="117"/>
      <c r="K40" s="116"/>
      <c r="M40" s="212" t="str">
        <f>HYPERLINK("https://github.com/mostafa-saad/MyCompetitiveProgramming/blob/master/PKU/PKU_2151.txt","Sol")</f>
        <v>Sol</v>
      </c>
    </row>
    <row r="41">
      <c r="A41" s="346" t="s">
        <v>1121</v>
      </c>
      <c r="B41" s="384" t="str">
        <f>HYPERLINK("https://uva.onlinejudge.org/index.php?option=com_onlinejudge&amp;Itemid=8&amp;page=show_problem&amp;problem=3319","UVA 12167")</f>
        <v>UVA 12167</v>
      </c>
      <c r="C41" s="185"/>
      <c r="D41" s="185"/>
      <c r="E41" s="185"/>
      <c r="F41" s="185"/>
      <c r="G41" s="185"/>
      <c r="H41" s="186"/>
      <c r="I41" s="81">
        <f t="shared" si="1"/>
        <v>0</v>
      </c>
      <c r="J41" s="86"/>
      <c r="K41" s="80"/>
      <c r="M41" s="212" t="str">
        <f>HYPERLINK("https://github.com/abdullaAshraf/Problem-Solving/blob/master/UVA/12167.cpp","Sol")</f>
        <v>Sol</v>
      </c>
    </row>
    <row r="42">
      <c r="A42" s="346" t="s">
        <v>1122</v>
      </c>
      <c r="B42" s="378" t="str">
        <f>HYPERLINK("https://uva.onlinejudge.org/index.php?option=onlinejudge&amp;page=show_problem&amp;problem=488","UVA 547")</f>
        <v>UVA 547</v>
      </c>
      <c r="C42" s="185"/>
      <c r="D42" s="185"/>
      <c r="E42" s="185"/>
      <c r="F42" s="185"/>
      <c r="G42" s="185"/>
      <c r="H42" s="186"/>
      <c r="I42" s="81">
        <f t="shared" si="1"/>
        <v>0</v>
      </c>
      <c r="J42" s="86"/>
      <c r="K42" s="80"/>
    </row>
    <row r="43">
      <c r="A43" s="346" t="s">
        <v>1123</v>
      </c>
      <c r="B43" s="385" t="str">
        <f>HYPERLINK("https://uva.onlinejudge.org/index.php?option=onlinejudge&amp;page=show_problem&amp;problem=2499","UVA 11504")</f>
        <v>UVA 11504</v>
      </c>
      <c r="C43" s="185"/>
      <c r="D43" s="185"/>
      <c r="E43" s="185"/>
      <c r="F43" s="185"/>
      <c r="G43" s="185"/>
      <c r="H43" s="186"/>
      <c r="I43" s="81">
        <f t="shared" si="1"/>
        <v>0</v>
      </c>
      <c r="J43" s="117"/>
      <c r="K43" s="116"/>
      <c r="M43" s="212" t="str">
        <f>HYPERLINK("https://github.com/mostafa-saad/MyCompetitiveProgramming/blob/master/UVA/UVA_11504.txt","Sol")</f>
        <v>Sol</v>
      </c>
    </row>
    <row r="44">
      <c r="A44" s="346"/>
      <c r="B44" s="346" t="s">
        <v>1124</v>
      </c>
      <c r="C44" s="185"/>
      <c r="D44" s="185"/>
      <c r="E44" s="185"/>
      <c r="F44" s="185"/>
      <c r="G44" s="185"/>
      <c r="H44" s="186"/>
      <c r="I44" s="81">
        <f t="shared" si="1"/>
        <v>0</v>
      </c>
      <c r="J44" s="117"/>
      <c r="K44" s="116"/>
    </row>
    <row r="45">
      <c r="A45" s="346" t="s">
        <v>1125</v>
      </c>
      <c r="B45" s="347" t="str">
        <f>HYPERLINK("https://uva.onlinejudge.org/index.php?option=com_onlinejudge&amp;Itemid=8&amp;page=show_problem&amp;problem=2117","UVA 11176")</f>
        <v>UVA 11176</v>
      </c>
      <c r="C45" s="185"/>
      <c r="D45" s="185"/>
      <c r="E45" s="185"/>
      <c r="F45" s="185"/>
      <c r="G45" s="185"/>
      <c r="H45" s="186"/>
      <c r="I45" s="81">
        <f t="shared" si="1"/>
        <v>0</v>
      </c>
      <c r="J45" s="47"/>
      <c r="K45" s="50"/>
      <c r="M45" s="212" t="str">
        <f>HYPERLINK("https://github.com/VAMPIER000001/CompetitiveProgramming/blob/master/UVA/V-111/UVA%2011176.cpp","Sol")</f>
        <v>Sol</v>
      </c>
    </row>
    <row r="46">
      <c r="A46" s="346"/>
      <c r="B46" s="346" t="s">
        <v>1126</v>
      </c>
      <c r="C46" s="185"/>
      <c r="D46" s="185"/>
      <c r="E46" s="185"/>
      <c r="F46" s="185"/>
      <c r="G46" s="185"/>
      <c r="H46" s="186"/>
      <c r="I46" s="81">
        <f t="shared" si="1"/>
        <v>0</v>
      </c>
      <c r="J46" s="47"/>
      <c r="K46" s="50"/>
    </row>
    <row r="47">
      <c r="A47" s="346"/>
      <c r="B47" s="346" t="s">
        <v>1127</v>
      </c>
      <c r="C47" s="185"/>
      <c r="D47" s="185"/>
      <c r="E47" s="185"/>
      <c r="F47" s="185"/>
      <c r="G47" s="185"/>
      <c r="H47" s="186"/>
      <c r="I47" s="81">
        <f t="shared" si="1"/>
        <v>0</v>
      </c>
      <c r="J47" s="47"/>
      <c r="K47" s="50"/>
      <c r="M47" s="212" t="str">
        <f>HYPERLINK("https://github.com/yazanKabbany/CompetitiveProgramming/blob/master/Topcoder/SRM465-D1-500.cpp","Sol")</f>
        <v>Sol</v>
      </c>
    </row>
    <row r="48">
      <c r="A48" s="346"/>
      <c r="B48" s="346" t="s">
        <v>1128</v>
      </c>
      <c r="C48" s="185"/>
      <c r="D48" s="185"/>
      <c r="E48" s="185"/>
      <c r="F48" s="185"/>
      <c r="G48" s="185"/>
      <c r="H48" s="186"/>
      <c r="I48" s="81">
        <f t="shared" si="1"/>
        <v>0</v>
      </c>
      <c r="J48" s="47"/>
      <c r="K48" s="50"/>
      <c r="M48" s="212" t="str">
        <f>HYPERLINK("https://github.com/mostafa-saad/MyCompetitiveProgramming/blob/master/UVA/UVA_10740.txt","Sol")</f>
        <v>Sol</v>
      </c>
    </row>
    <row r="49">
      <c r="A49" s="346"/>
      <c r="B49" s="346" t="s">
        <v>1129</v>
      </c>
      <c r="C49" s="185"/>
      <c r="D49" s="185"/>
      <c r="E49" s="185"/>
      <c r="F49" s="185"/>
      <c r="G49" s="185"/>
      <c r="H49" s="186"/>
      <c r="I49" s="81">
        <f t="shared" si="1"/>
        <v>0</v>
      </c>
      <c r="J49" s="47"/>
      <c r="K49" s="50"/>
    </row>
    <row r="50">
      <c r="A50" s="346"/>
      <c r="B50" s="346" t="s">
        <v>1130</v>
      </c>
      <c r="C50" s="185"/>
      <c r="D50" s="185"/>
      <c r="E50" s="185"/>
      <c r="F50" s="185"/>
      <c r="G50" s="185"/>
      <c r="H50" s="186"/>
      <c r="I50" s="81">
        <f t="shared" si="1"/>
        <v>0</v>
      </c>
      <c r="J50" s="47"/>
      <c r="K50" s="50"/>
    </row>
    <row r="51">
      <c r="A51" s="346"/>
      <c r="B51" s="346" t="s">
        <v>1131</v>
      </c>
      <c r="C51" s="185"/>
      <c r="D51" s="185"/>
      <c r="E51" s="185"/>
      <c r="F51" s="185"/>
      <c r="G51" s="185"/>
      <c r="H51" s="186"/>
      <c r="I51" s="81">
        <f t="shared" si="1"/>
        <v>0</v>
      </c>
      <c r="J51" s="47"/>
      <c r="K51" s="50"/>
      <c r="M51" s="212" t="str">
        <f>HYPERLINK("https://github.com/morris821028/UVa/blob/master/volume013/1342%20-%20That%20Nice%20Euler%20Circuit.cpp","Sol")</f>
        <v>Sol</v>
      </c>
    </row>
    <row r="52">
      <c r="A52" s="346"/>
      <c r="B52" s="347" t="str">
        <f>HYPERLINK("http://codeforces.com/contest/811/problem/D","CF811-D2-D")</f>
        <v>CF811-D2-D</v>
      </c>
      <c r="C52" s="185"/>
      <c r="D52" s="185"/>
      <c r="E52" s="185"/>
      <c r="F52" s="185"/>
      <c r="G52" s="185"/>
      <c r="H52" s="186"/>
      <c r="I52" s="81">
        <f t="shared" si="1"/>
        <v>0</v>
      </c>
      <c r="J52" s="47"/>
      <c r="K52" s="50"/>
    </row>
    <row r="53">
      <c r="A53" s="346"/>
      <c r="B53" s="347" t="str">
        <f>HYPERLINK("https://beta.atcoder.jp/contests/agc026/tasks/agc026_b","AtCoder026-AGC-B")</f>
        <v>AtCoder026-AGC-B</v>
      </c>
      <c r="C53" s="185"/>
      <c r="D53" s="185"/>
      <c r="E53" s="185"/>
      <c r="F53" s="185"/>
      <c r="G53" s="185"/>
      <c r="H53" s="186"/>
      <c r="I53" s="81">
        <f t="shared" si="1"/>
        <v>0</v>
      </c>
      <c r="J53" s="47"/>
      <c r="K53" s="50"/>
      <c r="M53" s="212" t="str">
        <f>HYPERLINK("https://github.com/dasannagariraja/CompetitiveProgramming/blob/master/AtCoder/AtCoder026-AGC-B.cpp","Sol")</f>
        <v>Sol</v>
      </c>
    </row>
    <row r="54">
      <c r="A54" s="346"/>
      <c r="B54" s="346" t="s">
        <v>1132</v>
      </c>
      <c r="C54" s="185"/>
      <c r="D54" s="185"/>
      <c r="E54" s="185"/>
      <c r="F54" s="185"/>
      <c r="G54" s="185"/>
      <c r="H54" s="186"/>
      <c r="I54" s="81">
        <f t="shared" si="1"/>
        <v>0</v>
      </c>
      <c r="J54" s="86"/>
      <c r="K54" s="80"/>
      <c r="M54" s="214" t="str">
        <f>HYPERLINK("https://github.com/mostafa-saad/MyCompetitiveProgramming/blob/master/SPOJ/SPOJ_FISHES.txt","Sol")</f>
        <v>Sol</v>
      </c>
    </row>
    <row r="55">
      <c r="A55" s="346"/>
      <c r="B55" s="346" t="s">
        <v>1133</v>
      </c>
      <c r="C55" s="185"/>
      <c r="D55" s="185"/>
      <c r="E55" s="185"/>
      <c r="F55" s="185"/>
      <c r="G55" s="185"/>
      <c r="H55" s="186"/>
      <c r="I55" s="81">
        <f t="shared" si="1"/>
        <v>0</v>
      </c>
      <c r="J55" s="86"/>
      <c r="K55" s="80"/>
      <c r="M55" s="214" t="str">
        <f>HYPERLINK("https://github.com/Huvok/CompetitiveProgramming/blob/master/UVA/11475.cpp", "Sol")</f>
        <v>Sol</v>
      </c>
    </row>
    <row r="56">
      <c r="A56" s="192"/>
      <c r="B56" s="202"/>
      <c r="C56" s="185"/>
      <c r="D56" s="185"/>
      <c r="E56" s="185"/>
      <c r="F56" s="185"/>
      <c r="G56" s="185"/>
      <c r="H56" s="186"/>
      <c r="I56" s="81">
        <f t="shared" si="1"/>
        <v>0</v>
      </c>
      <c r="J56" s="86"/>
      <c r="K56" s="80"/>
      <c r="M56" s="50"/>
    </row>
    <row r="57">
      <c r="A57" s="192" t="s">
        <v>1134</v>
      </c>
      <c r="B57" s="382" t="str">
        <f>HYPERLINK("http://codeforces.com/contest/478/problem/D","CF478-D2-D")</f>
        <v>CF478-D2-D</v>
      </c>
      <c r="C57" s="185"/>
      <c r="D57" s="185"/>
      <c r="E57" s="185"/>
      <c r="F57" s="185"/>
      <c r="G57" s="185"/>
      <c r="H57" s="186"/>
      <c r="I57" s="81">
        <f t="shared" si="1"/>
        <v>0</v>
      </c>
      <c r="J57" s="86"/>
      <c r="K57" s="80"/>
      <c r="M57" s="50"/>
    </row>
    <row r="58">
      <c r="A58" s="192" t="s">
        <v>1135</v>
      </c>
      <c r="B58" s="382" t="str">
        <f>HYPERLINK("http://codeforces.com/contest/363/problem/D","CF363-D2-D")</f>
        <v>CF363-D2-D</v>
      </c>
      <c r="C58" s="185"/>
      <c r="D58" s="185"/>
      <c r="E58" s="185"/>
      <c r="F58" s="185"/>
      <c r="G58" s="185"/>
      <c r="H58" s="186"/>
      <c r="I58" s="81">
        <f t="shared" si="1"/>
        <v>0</v>
      </c>
      <c r="J58" s="86"/>
      <c r="K58" s="80"/>
      <c r="M58" s="50"/>
    </row>
    <row r="59">
      <c r="A59" s="110" t="s">
        <v>1136</v>
      </c>
      <c r="B59" s="111" t="str">
        <f>HYPERLINK("http://codeforces.com/contest/146/problem/D","CF146-D2-D")</f>
        <v>CF146-D2-D</v>
      </c>
      <c r="C59" s="185"/>
      <c r="D59" s="185"/>
      <c r="E59" s="185"/>
      <c r="F59" s="185"/>
      <c r="G59" s="185"/>
      <c r="H59" s="186"/>
      <c r="I59" s="81">
        <f t="shared" si="1"/>
        <v>0</v>
      </c>
      <c r="J59" s="117"/>
      <c r="K59" s="116"/>
      <c r="M59" s="50"/>
    </row>
    <row r="60">
      <c r="A60" s="110" t="s">
        <v>1137</v>
      </c>
      <c r="B60" s="111" t="str">
        <f>HYPERLINK("http://codeforces.com/contest/496/problem/D","CF496-D2-D")</f>
        <v>CF496-D2-D</v>
      </c>
      <c r="C60" s="185"/>
      <c r="D60" s="185"/>
      <c r="E60" s="185"/>
      <c r="F60" s="185"/>
      <c r="G60" s="185"/>
      <c r="H60" s="186"/>
      <c r="I60" s="81">
        <f t="shared" si="1"/>
        <v>0</v>
      </c>
      <c r="J60" s="117"/>
      <c r="K60" s="116"/>
      <c r="M60" s="50"/>
    </row>
    <row r="61">
      <c r="A61" s="110" t="s">
        <v>1138</v>
      </c>
      <c r="B61" s="111" t="str">
        <f>HYPERLINK("http://codeforces.com/contest/340/problem/D","CF340-D2-D")</f>
        <v>CF340-D2-D</v>
      </c>
      <c r="C61" s="185"/>
      <c r="D61" s="185"/>
      <c r="E61" s="185"/>
      <c r="F61" s="185"/>
      <c r="G61" s="185"/>
      <c r="H61" s="186"/>
      <c r="I61" s="81">
        <f t="shared" si="1"/>
        <v>0</v>
      </c>
      <c r="J61" s="117"/>
      <c r="K61" s="116"/>
      <c r="M61" s="50"/>
    </row>
    <row r="62">
      <c r="A62" s="192" t="s">
        <v>1139</v>
      </c>
      <c r="B62" s="382" t="str">
        <f>HYPERLINK("http://codeforces.com/contest/402/problem/D","CF402-D2-D")</f>
        <v>CF402-D2-D</v>
      </c>
      <c r="C62" s="185"/>
      <c r="D62" s="185"/>
      <c r="E62" s="185"/>
      <c r="F62" s="185"/>
      <c r="G62" s="185"/>
      <c r="H62" s="186"/>
      <c r="I62" s="81">
        <f t="shared" si="1"/>
        <v>0</v>
      </c>
      <c r="J62" s="86"/>
      <c r="K62" s="80"/>
      <c r="M62" s="50"/>
    </row>
    <row r="63">
      <c r="A63" s="192"/>
      <c r="B63" s="382" t="s">
        <v>1140</v>
      </c>
      <c r="C63" s="185"/>
      <c r="D63" s="185"/>
      <c r="E63" s="185"/>
      <c r="F63" s="185"/>
      <c r="G63" s="185"/>
      <c r="H63" s="186"/>
      <c r="I63" s="81">
        <f t="shared" si="1"/>
        <v>0</v>
      </c>
      <c r="J63" s="86"/>
      <c r="K63" s="80"/>
      <c r="M63" s="214" t="str">
        <f>HYPERLINK("https://github.com/magdy-hasan/competitive-programming/blob/master/Other/ZOJ%20Get%20Sauce.cpp","Sol")</f>
        <v>Sol</v>
      </c>
    </row>
    <row r="64">
      <c r="A64" s="192"/>
      <c r="B64" s="382" t="str">
        <f>HYPERLINK("http://codeforces.com/problemset/problem/1017/D","CF1017-D12-D")</f>
        <v>CF1017-D12-D</v>
      </c>
      <c r="C64" s="185"/>
      <c r="D64" s="185"/>
      <c r="E64" s="185"/>
      <c r="F64" s="185"/>
      <c r="G64" s="185"/>
      <c r="H64" s="186"/>
      <c r="I64" s="81">
        <f t="shared" si="1"/>
        <v>0</v>
      </c>
      <c r="J64" s="86"/>
      <c r="K64" s="80"/>
      <c r="M64" s="50"/>
    </row>
    <row r="65">
      <c r="A65" s="242" t="s">
        <v>1141</v>
      </c>
      <c r="B65" s="314" t="str">
        <f>HYPERLINK("http://codeforces.com/contest/69/problem/C","CF69-D2-C")</f>
        <v>CF69-D2-C</v>
      </c>
      <c r="C65" s="185"/>
      <c r="D65" s="185"/>
      <c r="E65" s="185"/>
      <c r="F65" s="185"/>
      <c r="G65" s="185"/>
      <c r="H65" s="186"/>
      <c r="I65" s="81">
        <f t="shared" si="1"/>
        <v>0</v>
      </c>
      <c r="J65" s="86"/>
      <c r="K65" s="80"/>
      <c r="M65" s="50"/>
    </row>
    <row r="66">
      <c r="A66" s="242" t="s">
        <v>1142</v>
      </c>
      <c r="B66" s="314" t="str">
        <f>HYPERLINK("http://codeforces.com/contest/322/problem/C","CF322-D2-C")</f>
        <v>CF322-D2-C</v>
      </c>
      <c r="C66" s="185"/>
      <c r="D66" s="185"/>
      <c r="E66" s="185"/>
      <c r="F66" s="185"/>
      <c r="G66" s="185"/>
      <c r="H66" s="186"/>
      <c r="I66" s="81">
        <f t="shared" si="1"/>
        <v>0</v>
      </c>
      <c r="J66" s="86"/>
      <c r="K66" s="80"/>
      <c r="M66" s="50"/>
    </row>
    <row r="67">
      <c r="A67" s="242" t="s">
        <v>1143</v>
      </c>
      <c r="B67" s="314" t="str">
        <f>HYPERLINK("http://codeforces.com/contest/716/problem/C","CF716-D2-C")</f>
        <v>CF716-D2-C</v>
      </c>
      <c r="C67" s="185"/>
      <c r="D67" s="185"/>
      <c r="E67" s="185"/>
      <c r="F67" s="185"/>
      <c r="G67" s="185"/>
      <c r="H67" s="186"/>
      <c r="I67" s="81">
        <f t="shared" si="1"/>
        <v>0</v>
      </c>
      <c r="J67" s="86"/>
      <c r="K67" s="80"/>
      <c r="M67" s="50"/>
    </row>
    <row r="68">
      <c r="A68" s="192"/>
      <c r="B68" s="202"/>
      <c r="C68" s="185"/>
      <c r="D68" s="185"/>
      <c r="E68" s="185"/>
      <c r="F68" s="185"/>
      <c r="G68" s="185"/>
      <c r="H68" s="186"/>
      <c r="I68" s="81">
        <f t="shared" si="1"/>
        <v>0</v>
      </c>
      <c r="J68" s="86"/>
      <c r="K68" s="80"/>
      <c r="M68" s="50"/>
    </row>
    <row r="69">
      <c r="A69" s="319" t="s">
        <v>1144</v>
      </c>
      <c r="B69" s="240" t="str">
        <f>HYPERLINK("https://uva.onlinejudge.org/index.php?option=com_onlinejudge&amp;Itemid=8&amp;page=show_problem&amp;problem=4395","UVA 12657")</f>
        <v>UVA 12657</v>
      </c>
      <c r="C69" s="185"/>
      <c r="D69" s="185"/>
      <c r="E69" s="185"/>
      <c r="F69" s="185"/>
      <c r="G69" s="185"/>
      <c r="H69" s="186"/>
      <c r="I69" s="81">
        <f t="shared" si="1"/>
        <v>0</v>
      </c>
      <c r="J69" s="117"/>
      <c r="K69" s="116"/>
      <c r="M69" s="212" t="str">
        <f>HYPERLINK("http://qkxue.net/info/113260/UVA-Boxes-Line-12657","Sol")</f>
        <v>Sol</v>
      </c>
    </row>
    <row r="70">
      <c r="A70" s="291"/>
      <c r="B70" s="291" t="s">
        <v>1145</v>
      </c>
      <c r="C70" s="185"/>
      <c r="D70" s="185"/>
      <c r="E70" s="185"/>
      <c r="F70" s="185"/>
      <c r="G70" s="185"/>
      <c r="H70" s="186"/>
      <c r="I70" s="81">
        <f t="shared" si="1"/>
        <v>0</v>
      </c>
      <c r="J70" s="86"/>
      <c r="K70" s="80"/>
      <c r="M70" s="212" t="str">
        <f>HYPERLINK("https://github.com/BRAINOOOO/CompetitiveProgramming/blob/master/Spoj/SPOJ%20QUEST4.Cpp","Sol")</f>
        <v>Sol</v>
      </c>
    </row>
    <row r="71">
      <c r="A71" s="291" t="s">
        <v>1146</v>
      </c>
      <c r="B71" s="384" t="str">
        <f>HYPERLINK("https://uva.onlinejudge.org/index.php?option=onlinejudge&amp;page=show_problem&amp;problem=2322","UVA 11347")</f>
        <v>UVA 11347</v>
      </c>
      <c r="C71" s="185"/>
      <c r="D71" s="185"/>
      <c r="E71" s="185"/>
      <c r="F71" s="185"/>
      <c r="G71" s="185"/>
      <c r="H71" s="186"/>
      <c r="I71" s="81">
        <f t="shared" si="1"/>
        <v>0</v>
      </c>
      <c r="J71" s="86"/>
      <c r="K71" s="80"/>
    </row>
    <row r="72">
      <c r="A72" s="285" t="s">
        <v>1147</v>
      </c>
      <c r="B72" s="386" t="str">
        <f>HYPERLINK("https://uva.onlinejudge.org/index.php?option=com_onlinejudge&amp;Itemid=8&amp;page=show_problem&amp;problem=504","UVA 563")</f>
        <v>UVA 563</v>
      </c>
      <c r="C72" s="185"/>
      <c r="D72" s="185"/>
      <c r="E72" s="185"/>
      <c r="F72" s="185"/>
      <c r="G72" s="185"/>
      <c r="H72" s="186"/>
      <c r="I72" s="81">
        <f t="shared" si="1"/>
        <v>0</v>
      </c>
      <c r="J72" s="86"/>
      <c r="K72" s="80"/>
      <c r="M72" s="212" t="str">
        <f>HYPERLINK("https://github.com/BRAINOOOO/CompetitiveProgramming/blob/d60a5d1364a8f6aba3cd785c1e5d7825bf3818bc/UVA/UVA%20563.Cpp","Sol")</f>
        <v>Sol</v>
      </c>
    </row>
    <row r="73">
      <c r="A73" s="307"/>
      <c r="B73" s="387" t="s">
        <v>1148</v>
      </c>
      <c r="C73" s="185"/>
      <c r="D73" s="185"/>
      <c r="E73" s="185"/>
      <c r="F73" s="185"/>
      <c r="G73" s="185"/>
      <c r="H73" s="186"/>
      <c r="I73" s="81">
        <f t="shared" si="1"/>
        <v>0</v>
      </c>
      <c r="J73" s="86"/>
      <c r="K73" s="80"/>
    </row>
    <row r="74">
      <c r="A74" s="307"/>
      <c r="B74" s="387" t="s">
        <v>1149</v>
      </c>
      <c r="C74" s="185"/>
      <c r="D74" s="185"/>
      <c r="E74" s="185"/>
      <c r="F74" s="185"/>
      <c r="G74" s="185"/>
      <c r="H74" s="186"/>
      <c r="I74" s="81">
        <f t="shared" si="1"/>
        <v>0</v>
      </c>
      <c r="J74" s="86"/>
      <c r="K74" s="80"/>
    </row>
    <row r="75">
      <c r="A75" s="307" t="s">
        <v>1150</v>
      </c>
      <c r="B75" s="378" t="str">
        <f>HYPERLINK("http://www.spoj.com/problems/PROOT/","SPOJ PROOT")</f>
        <v>SPOJ PROOT</v>
      </c>
      <c r="C75" s="185"/>
      <c r="D75" s="185"/>
      <c r="E75" s="185"/>
      <c r="F75" s="185"/>
      <c r="G75" s="185"/>
      <c r="H75" s="186"/>
      <c r="I75" s="81">
        <f t="shared" si="1"/>
        <v>0</v>
      </c>
      <c r="J75" s="86"/>
      <c r="K75" s="80"/>
      <c r="M75" s="212" t="str">
        <f>HYPERLINK("http://zobayer.blogspot.com/2010/02/primitive-root.html","Sol")</f>
        <v>Sol</v>
      </c>
    </row>
    <row r="76">
      <c r="A76" s="388" t="s">
        <v>1151</v>
      </c>
      <c r="B76" s="389" t="str">
        <f>HYPERLINK("http://codeforces.com/problemset/gymProblem/101149/G","CF101149-GYM-G")</f>
        <v>CF101149-GYM-G</v>
      </c>
      <c r="C76" s="185"/>
      <c r="D76" s="185"/>
      <c r="E76" s="185"/>
      <c r="F76" s="185"/>
      <c r="G76" s="185"/>
      <c r="H76" s="186"/>
      <c r="I76" s="81">
        <f t="shared" si="1"/>
        <v>0</v>
      </c>
      <c r="J76" s="86"/>
      <c r="K76" s="80"/>
      <c r="M76" s="212" t="str">
        <f>HYPERLINK("https://github.com/BRAINOOOO/CompetitiveProgramming/blob/3057480d3a311cc86a6d64546655a9bb4017cbd6/CF/CF101149-GYM-G.Cpp","Sol")</f>
        <v>Sol</v>
      </c>
    </row>
    <row r="77">
      <c r="A77" s="310" t="s">
        <v>1152</v>
      </c>
      <c r="B77" s="390" t="str">
        <f>HYPERLINK("http://codeforces.com/contest/292/problem/D","CF292-D12-D")</f>
        <v>CF292-D12-D</v>
      </c>
      <c r="C77" s="185"/>
      <c r="D77" s="185"/>
      <c r="E77" s="185"/>
      <c r="F77" s="185"/>
      <c r="G77" s="185"/>
      <c r="H77" s="186"/>
      <c r="I77" s="81">
        <f t="shared" si="1"/>
        <v>0</v>
      </c>
      <c r="J77" s="86"/>
      <c r="K77" s="80"/>
    </row>
    <row r="78">
      <c r="A78" s="291" t="s">
        <v>1153</v>
      </c>
      <c r="B78" s="391" t="str">
        <f>HYPERLINK("http://www.spoj.com/problems/ANDROUND","SPOJ ANDROUND")</f>
        <v>SPOJ ANDROUND</v>
      </c>
      <c r="C78" s="185"/>
      <c r="D78" s="185"/>
      <c r="E78" s="185"/>
      <c r="F78" s="185"/>
      <c r="G78" s="185"/>
      <c r="H78" s="186"/>
      <c r="I78" s="81">
        <f t="shared" si="1"/>
        <v>0</v>
      </c>
      <c r="J78" s="86"/>
      <c r="K78" s="80"/>
      <c r="M78" s="212" t="str">
        <f>HYPERLINK("https://github.com/AliOsm/CompetitiveProgramming/blob/master/SPOJ/ANDROUND%20-%20AND%20Rounds.cpp","Sol")</f>
        <v>Sol</v>
      </c>
    </row>
    <row r="79">
      <c r="A79" s="310" t="s">
        <v>1154</v>
      </c>
      <c r="B79" s="377" t="str">
        <f>HYPERLINK("https://uva.onlinejudge.org/index.php?option=onlinejudge&amp;page=show_problem&amp;problem=2468","UVA 11473")</f>
        <v>UVA 11473</v>
      </c>
      <c r="C79" s="185"/>
      <c r="D79" s="185"/>
      <c r="E79" s="185"/>
      <c r="F79" s="185"/>
      <c r="G79" s="185"/>
      <c r="H79" s="186"/>
      <c r="I79" s="81">
        <f t="shared" si="1"/>
        <v>0</v>
      </c>
      <c r="J79" s="86"/>
      <c r="K79" s="80"/>
      <c r="M79" s="212" t="str">
        <f>HYPERLINK("https://github.com/osamahatem/CompetitiveProgramming/blob/master/UVA/11473%20-%20Campus%20Roads.cpp","Sol")</f>
        <v>Sol</v>
      </c>
    </row>
    <row r="80">
      <c r="A80" s="310" t="s">
        <v>1155</v>
      </c>
      <c r="B80" s="390" t="str">
        <f>HYPERLINK("http://codeforces.com/contest/437/problem/D","CF437-D2-D")</f>
        <v>CF437-D2-D</v>
      </c>
      <c r="C80" s="185"/>
      <c r="D80" s="185"/>
      <c r="E80" s="185"/>
      <c r="F80" s="185"/>
      <c r="G80" s="185"/>
      <c r="H80" s="186"/>
      <c r="I80" s="81">
        <f t="shared" si="1"/>
        <v>0</v>
      </c>
      <c r="J80" s="86"/>
      <c r="K80" s="80"/>
      <c r="M80" s="212" t="str">
        <f>HYPERLINK("https://github.com/abdullaAshraf/Problem-Solving/blob/master/CodeForces/CF437-D2-D.cpp","Sol")</f>
        <v>Sol</v>
      </c>
    </row>
    <row r="81">
      <c r="A81" s="310"/>
      <c r="B81" s="311" t="str">
        <f>HYPERLINK("http://codeforces.com/contest/403/problem/C","CF403-D1-C")</f>
        <v>CF403-D1-C</v>
      </c>
      <c r="C81" s="185"/>
      <c r="D81" s="185"/>
      <c r="E81" s="185"/>
      <c r="F81" s="185"/>
      <c r="G81" s="185"/>
      <c r="H81" s="186"/>
      <c r="I81" s="81">
        <f t="shared" si="1"/>
        <v>0</v>
      </c>
      <c r="J81" s="86"/>
      <c r="K81" s="80"/>
    </row>
    <row r="82">
      <c r="A82" s="310"/>
      <c r="B82" s="311" t="str">
        <f>HYPERLINK("http://codeforces.com/contest/787/problem/C","CF787-D2-C")</f>
        <v>CF787-D2-C</v>
      </c>
      <c r="C82" s="185"/>
      <c r="D82" s="185"/>
      <c r="E82" s="185"/>
      <c r="F82" s="185"/>
      <c r="G82" s="185"/>
      <c r="H82" s="186"/>
      <c r="I82" s="81">
        <f t="shared" si="1"/>
        <v>0</v>
      </c>
      <c r="J82" s="86"/>
      <c r="K82" s="80"/>
    </row>
    <row r="83">
      <c r="A83" s="310"/>
      <c r="B83" s="311" t="str">
        <f>HYPERLINK("http://codeforces.com/contest/309/problem/B","CF309-D12-B")</f>
        <v>CF309-D12-B</v>
      </c>
      <c r="C83" s="185"/>
      <c r="D83" s="185"/>
      <c r="E83" s="185"/>
      <c r="F83" s="185"/>
      <c r="G83" s="185"/>
      <c r="H83" s="186"/>
      <c r="I83" s="81">
        <f t="shared" si="1"/>
        <v>0</v>
      </c>
      <c r="J83" s="86"/>
      <c r="K83" s="80"/>
    </row>
    <row r="84">
      <c r="A84" s="310"/>
      <c r="B84" s="310" t="s">
        <v>1156</v>
      </c>
      <c r="C84" s="185"/>
      <c r="D84" s="185"/>
      <c r="E84" s="185"/>
      <c r="F84" s="185"/>
      <c r="G84" s="185"/>
      <c r="H84" s="186"/>
      <c r="I84" s="81">
        <f t="shared" si="1"/>
        <v>0</v>
      </c>
      <c r="J84" s="86"/>
      <c r="K84" s="80"/>
    </row>
    <row r="85">
      <c r="A85" s="310"/>
      <c r="B85" s="310" t="s">
        <v>1157</v>
      </c>
      <c r="C85" s="185"/>
      <c r="D85" s="185"/>
      <c r="E85" s="185"/>
      <c r="F85" s="185"/>
      <c r="G85" s="185"/>
      <c r="H85" s="186"/>
      <c r="I85" s="81">
        <f t="shared" si="1"/>
        <v>0</v>
      </c>
      <c r="J85" s="86"/>
      <c r="K85" s="80"/>
    </row>
    <row r="86">
      <c r="A86" s="310"/>
      <c r="B86" s="310" t="s">
        <v>1158</v>
      </c>
      <c r="C86" s="185"/>
      <c r="D86" s="185"/>
      <c r="E86" s="185"/>
      <c r="F86" s="185"/>
      <c r="G86" s="185"/>
      <c r="H86" s="186"/>
      <c r="I86" s="81">
        <f t="shared" si="1"/>
        <v>0</v>
      </c>
      <c r="J86" s="86"/>
      <c r="K86" s="80"/>
      <c r="M86" s="212" t="str">
        <f>HYPERLINK("https://github.com/MeGaCrazy/CompetitiveProgramming/blob/2a3c686ba85081a14c9df160224fc1659f7f93ab/Timus/TIMUS_1362.cpp","Sol")</f>
        <v>Sol</v>
      </c>
    </row>
    <row r="87">
      <c r="A87" s="310"/>
      <c r="B87" s="311" t="str">
        <f>HYPERLINK("http://codeforces.com/contest/1012/problem/C","CF1012-D1-C")</f>
        <v>CF1012-D1-C</v>
      </c>
      <c r="C87" s="185"/>
      <c r="D87" s="185"/>
      <c r="E87" s="185"/>
      <c r="F87" s="185"/>
      <c r="G87" s="185"/>
      <c r="H87" s="186"/>
      <c r="I87" s="81">
        <f t="shared" si="1"/>
        <v>0</v>
      </c>
      <c r="J87" s="86"/>
      <c r="K87" s="80"/>
    </row>
    <row r="88">
      <c r="A88" s="310"/>
      <c r="B88" s="310" t="s">
        <v>1159</v>
      </c>
      <c r="C88" s="185"/>
      <c r="D88" s="185"/>
      <c r="E88" s="185"/>
      <c r="F88" s="185"/>
      <c r="G88" s="185"/>
      <c r="H88" s="186"/>
      <c r="I88" s="81">
        <f t="shared" si="1"/>
        <v>0</v>
      </c>
      <c r="J88" s="86"/>
      <c r="K88" s="80"/>
      <c r="M88" s="212" t="str">
        <f>HYPERLINK("https://github.com/Huvok/CompetitiveProgramming/blob/master/SPOJ/COCONUTS.cpp","Sol")</f>
        <v>Sol</v>
      </c>
    </row>
    <row r="89">
      <c r="A89" s="310"/>
      <c r="B89" s="311" t="str">
        <f>HYPERLINK("https://www.facebook.com/hackercup/problem/1153996538071503/", "FbHkrCup 18-RQ-C")</f>
        <v>FbHkrCup 18-RQ-C</v>
      </c>
      <c r="C89" s="185"/>
      <c r="D89" s="185"/>
      <c r="E89" s="185"/>
      <c r="F89" s="185"/>
      <c r="G89" s="185"/>
      <c r="H89" s="186"/>
      <c r="I89" s="81">
        <f t="shared" si="1"/>
        <v>0</v>
      </c>
      <c r="J89" s="86"/>
      <c r="K89" s="80"/>
    </row>
    <row r="90">
      <c r="A90" s="310"/>
      <c r="B90" s="310" t="s">
        <v>1160</v>
      </c>
      <c r="C90" s="185"/>
      <c r="D90" s="185"/>
      <c r="E90" s="185"/>
      <c r="F90" s="185"/>
      <c r="G90" s="185"/>
      <c r="H90" s="186"/>
      <c r="I90" s="81">
        <f t="shared" si="1"/>
        <v>0</v>
      </c>
      <c r="J90" s="86"/>
      <c r="K90" s="80"/>
      <c r="M90" s="212" t="str">
        <f>HYPERLINK("https://github.com/HosamEissa/Competitive-programming-/blob/master/ACM-ICPC%20Live%20Archive/4682.cpp","Sol")</f>
        <v>Sol</v>
      </c>
    </row>
    <row r="91">
      <c r="A91" s="192"/>
      <c r="B91" s="202"/>
      <c r="C91" s="185"/>
      <c r="D91" s="185"/>
      <c r="E91" s="185"/>
      <c r="F91" s="185"/>
      <c r="G91" s="185"/>
      <c r="H91" s="186"/>
      <c r="I91" s="81">
        <f t="shared" si="1"/>
        <v>0</v>
      </c>
      <c r="J91" s="86"/>
      <c r="K91" s="80"/>
      <c r="M91" s="50"/>
    </row>
    <row r="92">
      <c r="A92" s="110" t="s">
        <v>1161</v>
      </c>
      <c r="B92" s="111" t="str">
        <f>HYPERLINK("http://codeforces.com/contest/651/problem/D","CF651-D2-D")</f>
        <v>CF651-D2-D</v>
      </c>
      <c r="C92" s="185"/>
      <c r="D92" s="185"/>
      <c r="E92" s="185"/>
      <c r="F92" s="185"/>
      <c r="G92" s="185"/>
      <c r="H92" s="186"/>
      <c r="I92" s="81">
        <f t="shared" si="1"/>
        <v>0</v>
      </c>
      <c r="J92" s="47"/>
      <c r="K92" s="50"/>
      <c r="M92" s="50"/>
    </row>
    <row r="93">
      <c r="A93" s="110" t="s">
        <v>1162</v>
      </c>
      <c r="B93" s="111" t="str">
        <f>HYPERLINK("http://codeforces.com/contest/281/problem/D","CF281-D2-D")</f>
        <v>CF281-D2-D</v>
      </c>
      <c r="C93" s="185"/>
      <c r="D93" s="185"/>
      <c r="E93" s="185"/>
      <c r="F93" s="185"/>
      <c r="G93" s="185"/>
      <c r="H93" s="186"/>
      <c r="I93" s="81">
        <f t="shared" si="1"/>
        <v>0</v>
      </c>
      <c r="J93" s="47"/>
      <c r="K93" s="50"/>
      <c r="M93" s="50"/>
    </row>
    <row r="94">
      <c r="A94" s="110" t="s">
        <v>1163</v>
      </c>
      <c r="B94" s="111" t="str">
        <f>HYPERLINK("http://codeforces.com/contest/313/problem/D","CF313-D2-D")</f>
        <v>CF313-D2-D</v>
      </c>
      <c r="C94" s="185"/>
      <c r="D94" s="185"/>
      <c r="E94" s="185"/>
      <c r="F94" s="185"/>
      <c r="G94" s="185"/>
      <c r="H94" s="186"/>
      <c r="I94" s="81">
        <f t="shared" si="1"/>
        <v>0</v>
      </c>
      <c r="J94" s="47"/>
      <c r="K94" s="50"/>
      <c r="M94" s="50"/>
    </row>
    <row r="95">
      <c r="A95" s="110" t="s">
        <v>1164</v>
      </c>
      <c r="B95" s="111" t="str">
        <f>HYPERLINK("http://codeforces.com/contest/255/problem/D","CF255-D2-D")</f>
        <v>CF255-D2-D</v>
      </c>
      <c r="C95" s="185"/>
      <c r="D95" s="185"/>
      <c r="E95" s="185"/>
      <c r="F95" s="185"/>
      <c r="G95" s="185"/>
      <c r="H95" s="186"/>
      <c r="I95" s="81">
        <f t="shared" si="1"/>
        <v>0</v>
      </c>
      <c r="J95" s="117"/>
      <c r="K95" s="116"/>
      <c r="M95" s="50"/>
    </row>
    <row r="96">
      <c r="A96" s="192" t="s">
        <v>1165</v>
      </c>
      <c r="B96" s="382" t="str">
        <f>HYPERLINK("http://codeforces.com/contest/298/problem/D","CF298-D2-D")</f>
        <v>CF298-D2-D</v>
      </c>
      <c r="C96" s="185"/>
      <c r="D96" s="185"/>
      <c r="E96" s="185"/>
      <c r="F96" s="185"/>
      <c r="G96" s="185"/>
      <c r="H96" s="186"/>
      <c r="I96" s="81">
        <f t="shared" si="1"/>
        <v>0</v>
      </c>
      <c r="J96" s="86"/>
      <c r="K96" s="80"/>
      <c r="M96" s="50"/>
    </row>
    <row r="97">
      <c r="A97" s="192" t="s">
        <v>1166</v>
      </c>
      <c r="B97" s="382" t="str">
        <f>HYPERLINK("http://codeforces.com/contest/237/problem/D","CF237-D2-D")</f>
        <v>CF237-D2-D</v>
      </c>
      <c r="C97" s="185"/>
      <c r="D97" s="185"/>
      <c r="E97" s="185"/>
      <c r="F97" s="185"/>
      <c r="G97" s="185"/>
      <c r="H97" s="186"/>
      <c r="I97" s="81">
        <f t="shared" si="1"/>
        <v>0</v>
      </c>
      <c r="J97" s="86"/>
      <c r="K97" s="80"/>
      <c r="M97" s="50"/>
    </row>
    <row r="98">
      <c r="A98" s="192" t="s">
        <v>1167</v>
      </c>
      <c r="B98" s="382" t="str">
        <f>HYPERLINK("http://codeforces.com/contest/168/problem/D","CF168-D2-D")</f>
        <v>CF168-D2-D</v>
      </c>
      <c r="C98" s="185"/>
      <c r="D98" s="185"/>
      <c r="E98" s="185"/>
      <c r="F98" s="185"/>
      <c r="G98" s="185"/>
      <c r="H98" s="186"/>
      <c r="I98" s="81">
        <f t="shared" si="1"/>
        <v>0</v>
      </c>
      <c r="J98" s="86"/>
      <c r="K98" s="80"/>
      <c r="M98" s="50"/>
    </row>
    <row r="99">
      <c r="A99" s="192"/>
      <c r="B99" s="382" t="str">
        <f>HYPERLINK("https://www.codechef.com/LTIME64B/problems/BJUDGE","CODECHEF BJUDGE")</f>
        <v>CODECHEF BJUDGE</v>
      </c>
      <c r="C99" s="185"/>
      <c r="D99" s="185"/>
      <c r="E99" s="185"/>
      <c r="F99" s="185"/>
      <c r="G99" s="185"/>
      <c r="H99" s="186"/>
      <c r="I99" s="81">
        <f t="shared" si="1"/>
        <v>0</v>
      </c>
      <c r="J99" s="86"/>
      <c r="K99" s="80"/>
      <c r="M99" s="50"/>
    </row>
    <row r="100">
      <c r="A100" s="242" t="s">
        <v>1168</v>
      </c>
      <c r="B100" s="314" t="str">
        <f>HYPERLINK("http://codeforces.com/contest/366/problem/C","CF366-D2-C")</f>
        <v>CF366-D2-C</v>
      </c>
      <c r="C100" s="185"/>
      <c r="D100" s="185"/>
      <c r="E100" s="185"/>
      <c r="F100" s="185"/>
      <c r="G100" s="185"/>
      <c r="H100" s="186"/>
      <c r="I100" s="81">
        <f t="shared" si="1"/>
        <v>0</v>
      </c>
      <c r="J100" s="86"/>
      <c r="K100" s="80"/>
      <c r="M100" s="50"/>
    </row>
    <row r="101">
      <c r="A101" s="192"/>
      <c r="C101" s="185"/>
      <c r="D101" s="185"/>
      <c r="E101" s="185"/>
      <c r="F101" s="185"/>
      <c r="G101" s="185"/>
      <c r="H101" s="186"/>
      <c r="I101" s="81">
        <f t="shared" si="1"/>
        <v>0</v>
      </c>
      <c r="J101" s="86"/>
      <c r="K101" s="80"/>
      <c r="M101" s="50"/>
    </row>
    <row r="102">
      <c r="A102" s="319" t="s">
        <v>1169</v>
      </c>
      <c r="B102" s="392" t="str">
        <f>HYPERLINK("https://uva.onlinejudge.org/index.php?option=com_onlinejudge&amp;Itemid=8&amp;page=show_problem&amp;problem=40","UVA 104")</f>
        <v>UVA 104</v>
      </c>
      <c r="C102" s="185"/>
      <c r="D102" s="185"/>
      <c r="E102" s="185"/>
      <c r="F102" s="185"/>
      <c r="G102" s="185"/>
      <c r="H102" s="186"/>
      <c r="I102" s="81">
        <f t="shared" si="1"/>
        <v>0</v>
      </c>
      <c r="J102" s="117"/>
      <c r="K102" s="116"/>
      <c r="M102" s="212" t="str">
        <f>HYPERLINK("https://github.com/abdullaAshraf/Problem-Solving/blob/master/UVA/104.cpp","Sol")</f>
        <v>Sol</v>
      </c>
    </row>
    <row r="103">
      <c r="A103" s="319" t="s">
        <v>1035</v>
      </c>
      <c r="B103" s="320" t="str">
        <f>HYPERLINK("http://codeforces.com/contest/431/problem/D","CF431-D2-D")</f>
        <v>CF431-D2-D</v>
      </c>
      <c r="C103" s="185"/>
      <c r="D103" s="185"/>
      <c r="E103" s="185"/>
      <c r="F103" s="185"/>
      <c r="G103" s="185"/>
      <c r="H103" s="186"/>
      <c r="I103" s="81">
        <f t="shared" si="1"/>
        <v>0</v>
      </c>
      <c r="J103" s="47"/>
      <c r="K103" s="50"/>
    </row>
    <row r="104">
      <c r="A104" s="319" t="s">
        <v>1170</v>
      </c>
      <c r="B104" s="240" t="str">
        <f>HYPERLINK("https://uva.onlinejudge.org/index.php?option=onlinejudge&amp;page=show_problem&amp;problem=442","UVA 501")</f>
        <v>UVA 501</v>
      </c>
      <c r="C104" s="185"/>
      <c r="D104" s="185"/>
      <c r="E104" s="185"/>
      <c r="F104" s="185"/>
      <c r="G104" s="185"/>
      <c r="H104" s="186"/>
      <c r="I104" s="81">
        <f t="shared" si="1"/>
        <v>0</v>
      </c>
      <c r="J104" s="47"/>
      <c r="K104" s="50"/>
      <c r="M104" s="212" t="str">
        <f>HYPERLINK("https://github.com/mostafa-saad/MyCompetitiveProgramming/blob/master/UVA/UVA_501.txt","Sol - Must Read")</f>
        <v>Sol - Must Read</v>
      </c>
    </row>
    <row r="105">
      <c r="A105" s="319" t="s">
        <v>1171</v>
      </c>
      <c r="B105" s="240" t="str">
        <f>HYPERLINK("https://uva.onlinejudge.org/index.php?option=com_onlinejudge&amp;Itemid=8&amp;page=show_problem&amp;problem=2175","UVA 11234")</f>
        <v>UVA 11234</v>
      </c>
      <c r="C105" s="185"/>
      <c r="D105" s="185"/>
      <c r="E105" s="185"/>
      <c r="F105" s="185"/>
      <c r="G105" s="185"/>
      <c r="H105" s="186"/>
      <c r="I105" s="81">
        <f t="shared" si="1"/>
        <v>0</v>
      </c>
      <c r="J105" s="47"/>
      <c r="K105" s="50"/>
      <c r="M105" s="212" t="str">
        <f>HYPERLINK("https://github.com/AbdelrahmanRamadan/competitive-programming/blob/master/UVA/11234%20-%20Expressions.cpp","Sol")</f>
        <v>Sol</v>
      </c>
    </row>
    <row r="106">
      <c r="A106" s="319" t="s">
        <v>1172</v>
      </c>
      <c r="B106" s="240" t="str">
        <f>HYPERLINK("http://www.spoj.com/problems/MSE07E/","SPOJ MSE07E")</f>
        <v>SPOJ MSE07E</v>
      </c>
      <c r="C106" s="185"/>
      <c r="D106" s="185"/>
      <c r="E106" s="185"/>
      <c r="F106" s="185"/>
      <c r="G106" s="185"/>
      <c r="H106" s="186"/>
      <c r="I106" s="81">
        <f t="shared" si="1"/>
        <v>0</v>
      </c>
      <c r="J106" s="47"/>
      <c r="K106" s="50"/>
      <c r="M106" s="212" t="str">
        <f>HYPERLINK("https://github.com/mostafa-saad/MyCompetitiveProgramming/blob/master/SPOJ/SPOJ_MSE07E.txt","Read SPOJ users' comments about IO. See here sol")</f>
        <v>Read SPOJ users' comments about IO. See here sol</v>
      </c>
    </row>
    <row r="107">
      <c r="A107" s="393" t="s">
        <v>1173</v>
      </c>
      <c r="B107" s="240" t="str">
        <f>HYPERLINK("http://www.spoj.com/problems/ANARC08A/","SPOJ ANARC08A")</f>
        <v>SPOJ ANARC08A</v>
      </c>
      <c r="C107" s="185"/>
      <c r="D107" s="185"/>
      <c r="E107" s="185"/>
      <c r="F107" s="185"/>
      <c r="G107" s="185"/>
      <c r="H107" s="186"/>
      <c r="I107" s="81">
        <f t="shared" si="1"/>
        <v>0</v>
      </c>
      <c r="J107" s="117"/>
      <c r="K107" s="116"/>
      <c r="M107" s="212" t="str">
        <f>HYPERLINK("https://github.com/mostafa-saad/MyCompetitiveProgramming/blob/master/SPOJ/SPOJ_ANARC08A.txt","Sol")</f>
        <v>Sol</v>
      </c>
    </row>
    <row r="108">
      <c r="A108" s="394" t="s">
        <v>1174</v>
      </c>
      <c r="B108" s="384" t="str">
        <f>HYPERLINK("https://uva.onlinejudge.org/index.php?option=com_onlinejudge&amp;Itemid=8&amp;page=show_problem&amp;problem=1360","UVA 10419")</f>
        <v>UVA 10419</v>
      </c>
      <c r="C108" s="185"/>
      <c r="D108" s="185"/>
      <c r="E108" s="185"/>
      <c r="F108" s="185"/>
      <c r="G108" s="185"/>
      <c r="H108" s="186"/>
      <c r="I108" s="81">
        <f t="shared" si="1"/>
        <v>0</v>
      </c>
      <c r="J108" s="86"/>
      <c r="K108" s="80"/>
      <c r="M108" s="212" t="str">
        <f>HYPERLINK("https://github.com/BRAINOOOO/CompetitiveProgramming/blob/master/UVA/V-104/UVA%2010419.Cpp","Sol")</f>
        <v>Sol</v>
      </c>
    </row>
    <row r="109">
      <c r="A109" s="395" t="s">
        <v>1175</v>
      </c>
      <c r="B109" s="378" t="str">
        <f>HYPERLINK("http://www.spoj.com/problems/HISTOGRA/","SPOJ HISTOGRA")</f>
        <v>SPOJ HISTOGRA</v>
      </c>
      <c r="C109" s="185"/>
      <c r="D109" s="185"/>
      <c r="E109" s="185"/>
      <c r="F109" s="185"/>
      <c r="G109" s="185"/>
      <c r="H109" s="186"/>
      <c r="I109" s="81">
        <f t="shared" si="1"/>
        <v>0</v>
      </c>
      <c r="J109" s="86"/>
      <c r="K109" s="80"/>
      <c r="M109" s="212" t="str">
        <f>HYPERLINK("https://github.com/mostafa-saad/MyCompetitiveProgramming/blob/master/SPOJ/SPOJ_HISTOGRA.txt","Sol. Don't implement as adhock/greedy/Pure STL. Use a data structure.")</f>
        <v>Sol. Don't implement as adhock/greedy/Pure STL. Use a data structure.</v>
      </c>
    </row>
    <row r="110">
      <c r="A110" s="396"/>
      <c r="B110" s="397" t="s">
        <v>1176</v>
      </c>
      <c r="C110" s="185"/>
      <c r="D110" s="185"/>
      <c r="E110" s="185"/>
      <c r="F110" s="185"/>
      <c r="G110" s="185"/>
      <c r="H110" s="186"/>
      <c r="I110" s="81">
        <f t="shared" si="1"/>
        <v>0</v>
      </c>
      <c r="J110" s="86"/>
      <c r="K110" s="80"/>
      <c r="M110" s="212" t="str">
        <f>HYPERLINK("https://github.com/BRAINOOOO/CompetitiveProgramming/blob/master/UVA/V-6/UVA%20663.Cpp","Sol")</f>
        <v>Sol</v>
      </c>
    </row>
    <row r="111">
      <c r="A111" s="398" t="str">
        <f>HYPERLINK("https://community.topcoder.com/stat?c=problem_statement&amp;pm=11282&amp;rd=14724","KingdomReorganization")</f>
        <v>KingdomReorganization</v>
      </c>
      <c r="B111" s="395" t="s">
        <v>1177</v>
      </c>
      <c r="C111" s="185"/>
      <c r="D111" s="185"/>
      <c r="E111" s="185"/>
      <c r="F111" s="185"/>
      <c r="G111" s="185"/>
      <c r="H111" s="186"/>
      <c r="I111" s="81">
        <f t="shared" si="1"/>
        <v>0</v>
      </c>
      <c r="J111" s="86"/>
      <c r="K111" s="80"/>
    </row>
    <row r="112">
      <c r="A112" s="396" t="s">
        <v>1178</v>
      </c>
      <c r="B112" s="378" t="str">
        <f>HYPERLINK("https://uva.onlinejudge.org/index.php?option=com_onlinejudge&amp;Itemid=8&amp;page=show_problem&amp;problem=1033","UVA 10092")</f>
        <v>UVA 10092</v>
      </c>
      <c r="C112" s="185"/>
      <c r="D112" s="185"/>
      <c r="E112" s="185"/>
      <c r="F112" s="185"/>
      <c r="G112" s="185"/>
      <c r="H112" s="186"/>
      <c r="I112" s="81">
        <f t="shared" si="1"/>
        <v>0</v>
      </c>
      <c r="J112" s="86"/>
      <c r="K112" s="80"/>
    </row>
    <row r="113">
      <c r="A113" s="396" t="s">
        <v>1179</v>
      </c>
      <c r="B113" s="378" t="str">
        <f>HYPERLINK("http://www.spoj.com/problems/PSYCHON/","SPOJ PSYCHON")</f>
        <v>SPOJ PSYCHON</v>
      </c>
      <c r="C113" s="185"/>
      <c r="D113" s="185"/>
      <c r="E113" s="185"/>
      <c r="F113" s="185"/>
      <c r="G113" s="185"/>
      <c r="H113" s="186"/>
      <c r="I113" s="81">
        <f t="shared" si="1"/>
        <v>0</v>
      </c>
      <c r="J113" s="86"/>
      <c r="K113" s="80"/>
    </row>
    <row r="114">
      <c r="A114" s="396" t="s">
        <v>1180</v>
      </c>
      <c r="B114" s="378" t="str">
        <f>HYPERLINK("https://icpcarchive.ecs.baylor.edu/index.php?option=onlinejudge&amp;page=show_problem&amp;problem=2327","LIVEARCHIVE 4326")</f>
        <v>LIVEARCHIVE 4326</v>
      </c>
      <c r="C114" s="185"/>
      <c r="D114" s="185"/>
      <c r="E114" s="185"/>
      <c r="F114" s="185"/>
      <c r="G114" s="185"/>
      <c r="H114" s="186"/>
      <c r="I114" s="81">
        <f t="shared" si="1"/>
        <v>0</v>
      </c>
      <c r="J114" s="86"/>
      <c r="K114" s="80"/>
    </row>
    <row r="115">
      <c r="A115" s="396" t="s">
        <v>1181</v>
      </c>
      <c r="B115" s="378" t="str">
        <f>HYPERLINK("https://uva.onlinejudge.org/index.php?option=com_onlinejudge&amp;Itemid=8&amp;page=show_problem&amp;problem=3675","UVA 1234")</f>
        <v>UVA 1234</v>
      </c>
      <c r="C115" s="185"/>
      <c r="D115" s="185"/>
      <c r="E115" s="185"/>
      <c r="F115" s="185"/>
      <c r="G115" s="185"/>
      <c r="H115" s="186"/>
      <c r="I115" s="81">
        <f t="shared" si="1"/>
        <v>0</v>
      </c>
      <c r="J115" s="86"/>
      <c r="K115" s="80"/>
      <c r="M115" s="212" t="str">
        <f>HYPERLINK("https://github.com/MohamedNabil97/CompetitiveProgramming/tree/master/UVA/1234.cpp","Sol")</f>
        <v>Sol</v>
      </c>
    </row>
    <row r="116">
      <c r="A116" s="398" t="str">
        <f>HYPERLINK("https://community.topcoder.com/stat?c=problem_statement&amp;pm=10750&amp;rd=14153","ActivateGame")</f>
        <v>ActivateGame</v>
      </c>
      <c r="B116" s="397" t="s">
        <v>1182</v>
      </c>
      <c r="C116" s="185"/>
      <c r="D116" s="185"/>
      <c r="E116" s="185"/>
      <c r="F116" s="185"/>
      <c r="G116" s="185"/>
      <c r="H116" s="186"/>
      <c r="I116" s="81">
        <f t="shared" si="1"/>
        <v>0</v>
      </c>
      <c r="J116" s="86"/>
      <c r="K116" s="80"/>
    </row>
    <row r="117">
      <c r="A117" s="285" t="s">
        <v>1183</v>
      </c>
      <c r="B117" s="309" t="str">
        <f>HYPERLINK("http://codeforces.com/contest/359/problem/D","CF359-D2-D")</f>
        <v>CF359-D2-D</v>
      </c>
      <c r="C117" s="185"/>
      <c r="D117" s="185"/>
      <c r="E117" s="185"/>
      <c r="F117" s="185"/>
      <c r="G117" s="185"/>
      <c r="H117" s="186"/>
      <c r="I117" s="81">
        <f t="shared" si="1"/>
        <v>0</v>
      </c>
      <c r="J117" s="47"/>
      <c r="K117" s="50"/>
      <c r="M117" s="212" t="str">
        <f>HYPERLINK("https://github.com/osamahatem/CompetitiveProgramming/blob/master/Codeforces/359D.%20Pair%20of%20Numbers.cpp","Sol")</f>
        <v>Sol</v>
      </c>
    </row>
    <row r="118">
      <c r="A118" s="310" t="s">
        <v>1184</v>
      </c>
      <c r="B118" s="310" t="s">
        <v>1185</v>
      </c>
      <c r="C118" s="185"/>
      <c r="D118" s="185"/>
      <c r="E118" s="185"/>
      <c r="F118" s="185"/>
      <c r="G118" s="185"/>
      <c r="H118" s="186"/>
      <c r="I118" s="81">
        <f t="shared" si="1"/>
        <v>0</v>
      </c>
      <c r="J118" s="47"/>
      <c r="K118" s="50"/>
    </row>
    <row r="119">
      <c r="A119" s="310" t="s">
        <v>1186</v>
      </c>
      <c r="B119" s="311" t="str">
        <f>HYPERLINK("https://uva.onlinejudge.org/index.php?option=onlinejudge&amp;page=show_problem&amp;problem=2321","UVa 11346")</f>
        <v>UVa 11346</v>
      </c>
      <c r="C119" s="185"/>
      <c r="D119" s="185"/>
      <c r="E119" s="185"/>
      <c r="F119" s="185"/>
      <c r="G119" s="185"/>
      <c r="H119" s="186"/>
      <c r="I119" s="81">
        <f t="shared" si="1"/>
        <v>0</v>
      </c>
      <c r="J119" s="47"/>
      <c r="K119" s="50"/>
      <c r="L119" s="50"/>
      <c r="M119" s="212" t="str">
        <f>HYPERLINK("https://github.com/VAMPIER000001/CompetitiveProgramming/blob/master/UVA/V-113/UVA%2011346.cpp","Sol")</f>
        <v>Sol</v>
      </c>
    </row>
    <row r="120">
      <c r="A120" s="310"/>
      <c r="B120" s="310" t="s">
        <v>1187</v>
      </c>
      <c r="C120" s="185"/>
      <c r="D120" s="185"/>
      <c r="E120" s="185"/>
      <c r="F120" s="185"/>
      <c r="G120" s="185"/>
      <c r="H120" s="186"/>
      <c r="I120" s="81">
        <f t="shared" si="1"/>
        <v>0</v>
      </c>
      <c r="J120" s="47"/>
      <c r="K120" s="50"/>
      <c r="L120" s="50"/>
      <c r="M120" s="266"/>
    </row>
    <row r="121">
      <c r="A121" s="310"/>
      <c r="B121" s="310" t="s">
        <v>1159</v>
      </c>
      <c r="C121" s="185"/>
      <c r="D121" s="185"/>
      <c r="E121" s="185"/>
      <c r="F121" s="185"/>
      <c r="G121" s="185"/>
      <c r="H121" s="186"/>
      <c r="I121" s="81">
        <f t="shared" si="1"/>
        <v>0</v>
      </c>
      <c r="J121" s="47"/>
      <c r="K121" s="50"/>
      <c r="L121" s="50"/>
      <c r="M121" s="212" t="str">
        <f>HYPERLINK("https://ideone.com/Hkl19P","Sol")</f>
        <v>Sol</v>
      </c>
    </row>
    <row r="122">
      <c r="A122" s="310"/>
      <c r="B122" s="311" t="str">
        <f>HYPERLINK("http://codeforces.com/contest/592/problem/D","CF592-D2-D")</f>
        <v>CF592-D2-D</v>
      </c>
      <c r="C122" s="185"/>
      <c r="D122" s="185"/>
      <c r="E122" s="185"/>
      <c r="F122" s="185"/>
      <c r="G122" s="185"/>
      <c r="H122" s="186"/>
      <c r="I122" s="81">
        <f t="shared" si="1"/>
        <v>0</v>
      </c>
      <c r="J122" s="47"/>
      <c r="K122" s="50"/>
      <c r="L122" s="50"/>
    </row>
    <row r="123">
      <c r="A123" s="310"/>
      <c r="B123" s="310" t="s">
        <v>1188</v>
      </c>
      <c r="C123" s="185"/>
      <c r="D123" s="185"/>
      <c r="E123" s="185"/>
      <c r="F123" s="185"/>
      <c r="G123" s="185"/>
      <c r="H123" s="186"/>
      <c r="I123" s="81">
        <f t="shared" si="1"/>
        <v>0</v>
      </c>
      <c r="J123" s="47"/>
      <c r="K123" s="50"/>
      <c r="L123" s="50"/>
      <c r="M123" s="212" t="str">
        <f>HYPERLINK("https://github.com/mostafa-saad/MyCompetitiveProgramming/blob/master/UVA/UVA_1218.txt","Sol")</f>
        <v>Sol</v>
      </c>
    </row>
    <row r="124">
      <c r="A124" s="310"/>
      <c r="B124" s="310" t="s">
        <v>1189</v>
      </c>
      <c r="C124" s="185"/>
      <c r="D124" s="185"/>
      <c r="E124" s="185"/>
      <c r="F124" s="185"/>
      <c r="G124" s="185"/>
      <c r="H124" s="186"/>
      <c r="I124" s="81">
        <f t="shared" si="1"/>
        <v>0</v>
      </c>
      <c r="J124" s="47"/>
      <c r="K124" s="50"/>
      <c r="L124" s="50"/>
      <c r="M124" s="212" t="str">
        <f>HYPERLINK("https://github.com/mostafa-saad/MyCompetitiveProgramming/blob/master/SPOJ/SPOJ_IOPC1207.txt","Sol")</f>
        <v>Sol</v>
      </c>
    </row>
    <row r="125">
      <c r="A125" s="310"/>
      <c r="B125" s="311" t="str">
        <f>HYPERLINK("https://codeforces.com/contest/867/problem/E","CF867-D12-E")</f>
        <v>CF867-D12-E</v>
      </c>
      <c r="C125" s="185"/>
      <c r="D125" s="185"/>
      <c r="E125" s="185"/>
      <c r="F125" s="185"/>
      <c r="G125" s="185"/>
      <c r="H125" s="186"/>
      <c r="I125" s="81">
        <f t="shared" si="1"/>
        <v>0</v>
      </c>
      <c r="J125" s="47"/>
      <c r="K125" s="50"/>
      <c r="L125" s="50"/>
    </row>
    <row r="126">
      <c r="A126" s="192"/>
      <c r="C126" s="185"/>
      <c r="D126" s="185"/>
      <c r="E126" s="185"/>
      <c r="F126" s="185"/>
      <c r="G126" s="185"/>
      <c r="H126" s="186"/>
      <c r="I126" s="81">
        <f t="shared" si="1"/>
        <v>0</v>
      </c>
      <c r="J126" s="86"/>
      <c r="K126" s="80"/>
      <c r="L126" s="50"/>
    </row>
    <row r="127">
      <c r="A127" s="110" t="s">
        <v>1190</v>
      </c>
      <c r="B127" s="190" t="str">
        <f>HYPERLINK("http://codeforces.com/contest/189/problem/D","CF189-D2-D")</f>
        <v>CF189-D2-D</v>
      </c>
      <c r="C127" s="185"/>
      <c r="D127" s="185"/>
      <c r="E127" s="185"/>
      <c r="F127" s="185"/>
      <c r="G127" s="185"/>
      <c r="H127" s="186"/>
      <c r="I127" s="81">
        <f t="shared" si="1"/>
        <v>0</v>
      </c>
      <c r="J127" s="47"/>
      <c r="K127" s="50"/>
      <c r="M127" s="212" t="str">
        <f>HYPERLINK("https://github.com/OmarMekkawy/Problems-Solved-Codes/blob/master/CodeForces/189D.cpp","Sol")</f>
        <v>Sol</v>
      </c>
    </row>
    <row r="128">
      <c r="A128" s="110" t="s">
        <v>1191</v>
      </c>
      <c r="B128" s="190" t="str">
        <f>HYPERLINK("http://codeforces.com/contest/604/problem/D","CF604-D2-D")</f>
        <v>CF604-D2-D</v>
      </c>
      <c r="C128" s="185"/>
      <c r="D128" s="185"/>
      <c r="E128" s="185"/>
      <c r="F128" s="185"/>
      <c r="G128" s="185"/>
      <c r="H128" s="186"/>
      <c r="I128" s="81">
        <f t="shared" si="1"/>
        <v>0</v>
      </c>
      <c r="J128" s="47"/>
      <c r="K128" s="50"/>
      <c r="M128" s="212" t="str">
        <f>HYPERLINK("https://github.com/MohamedNabil97/CompetitiveProgramming/blob/master/CodeForces/CF604-D2-D.cpp","Sol")</f>
        <v>Sol</v>
      </c>
    </row>
    <row r="129">
      <c r="A129" s="192" t="s">
        <v>1192</v>
      </c>
      <c r="B129" s="382" t="str">
        <f>HYPERLINK("http://codeforces.com/contest/122/problem/D","CF122-D2-D")</f>
        <v>CF122-D2-D</v>
      </c>
      <c r="C129" s="185"/>
      <c r="D129" s="185"/>
      <c r="E129" s="185"/>
      <c r="F129" s="185"/>
      <c r="G129" s="185"/>
      <c r="H129" s="186"/>
      <c r="I129" s="81">
        <f t="shared" si="1"/>
        <v>0</v>
      </c>
      <c r="J129" s="86"/>
      <c r="K129" s="80"/>
    </row>
    <row r="130">
      <c r="A130" s="192" t="s">
        <v>1193</v>
      </c>
      <c r="B130" s="382" t="str">
        <f>HYPERLINK("http://codeforces.com/contest/239/problem/D","CF239-D2-D")</f>
        <v>CF239-D2-D</v>
      </c>
      <c r="C130" s="185"/>
      <c r="D130" s="185"/>
      <c r="E130" s="185"/>
      <c r="F130" s="185"/>
      <c r="G130" s="185"/>
      <c r="H130" s="186"/>
      <c r="I130" s="81">
        <f t="shared" si="1"/>
        <v>0</v>
      </c>
      <c r="J130" s="86"/>
      <c r="K130" s="80"/>
      <c r="M130" s="212" t="str">
        <f>HYPERLINK("https://github.com/MedoN11/CompetitiveProgramming/blob/master/CodeForces/CF239-D2-D.java","Sol. Find proof (See editorial comments)")</f>
        <v>Sol. Find proof (See editorial comments)</v>
      </c>
    </row>
    <row r="131">
      <c r="A131" s="110" t="s">
        <v>1194</v>
      </c>
      <c r="B131" s="111" t="str">
        <f>HYPERLINK("http://codeforces.com/contest/599/problem/D","CF599-D2-D")</f>
        <v>CF599-D2-D</v>
      </c>
      <c r="C131" s="185"/>
      <c r="D131" s="185"/>
      <c r="E131" s="185"/>
      <c r="F131" s="185"/>
      <c r="G131" s="185"/>
      <c r="H131" s="186"/>
      <c r="I131" s="81">
        <f t="shared" si="1"/>
        <v>0</v>
      </c>
      <c r="J131" s="117"/>
      <c r="K131" s="116"/>
    </row>
    <row r="132">
      <c r="A132" s="110" t="s">
        <v>1195</v>
      </c>
      <c r="B132" s="190" t="str">
        <f>HYPERLINK("http://codeforces.com/contest/9/problem/D","CF9-D2-D")</f>
        <v>CF9-D2-D</v>
      </c>
      <c r="C132" s="185"/>
      <c r="D132" s="185"/>
      <c r="E132" s="185"/>
      <c r="F132" s="185"/>
      <c r="G132" s="185"/>
      <c r="H132" s="186"/>
      <c r="I132" s="81">
        <f t="shared" si="1"/>
        <v>0</v>
      </c>
      <c r="J132" s="117"/>
      <c r="K132" s="116"/>
    </row>
    <row r="133">
      <c r="A133" s="110"/>
      <c r="B133" s="190" t="str">
        <f>HYPERLINK("http://codeforces.com/contest/1043/problem/E","CF1043-D12-E")</f>
        <v>CF1043-D12-E</v>
      </c>
      <c r="C133" s="185"/>
      <c r="D133" s="185"/>
      <c r="E133" s="185"/>
      <c r="F133" s="185"/>
      <c r="G133" s="185"/>
      <c r="H133" s="186"/>
      <c r="I133" s="81">
        <f t="shared" si="1"/>
        <v>0</v>
      </c>
      <c r="J133" s="117"/>
      <c r="K133" s="116"/>
    </row>
    <row r="134">
      <c r="A134" s="110"/>
      <c r="B134" s="110" t="s">
        <v>1196</v>
      </c>
      <c r="C134" s="185"/>
      <c r="D134" s="185"/>
      <c r="E134" s="185"/>
      <c r="F134" s="185"/>
      <c r="G134" s="185"/>
      <c r="H134" s="186"/>
      <c r="I134" s="81">
        <f t="shared" si="1"/>
        <v>0</v>
      </c>
      <c r="J134" s="117"/>
      <c r="K134" s="116"/>
      <c r="M134" s="212" t="str">
        <f>HYPERLINK("https://github.com/jebouin/CompetitiveProgramming/blob/master/UVA/UVA%2010982.cpp","Sol")</f>
        <v>Sol</v>
      </c>
    </row>
    <row r="135">
      <c r="A135" s="110"/>
      <c r="B135" s="190" t="str">
        <f>HYPERLINK("https://codeforces.com/contest/1060/problem/D","CF1060-D12-D")</f>
        <v>CF1060-D12-D</v>
      </c>
      <c r="C135" s="185"/>
      <c r="D135" s="185"/>
      <c r="E135" s="185"/>
      <c r="F135" s="185"/>
      <c r="G135" s="185"/>
      <c r="H135" s="186"/>
      <c r="I135" s="81">
        <f t="shared" si="1"/>
        <v>0</v>
      </c>
      <c r="J135" s="117"/>
      <c r="K135" s="116"/>
    </row>
    <row r="136">
      <c r="A136" s="242" t="s">
        <v>1197</v>
      </c>
      <c r="B136" s="314" t="str">
        <f>HYPERLINK("http://codeforces.com/contest/104/problem/C","CF104-D2-C")</f>
        <v>CF104-D2-C</v>
      </c>
      <c r="C136" s="185"/>
      <c r="D136" s="185"/>
      <c r="E136" s="185"/>
      <c r="F136" s="185"/>
      <c r="G136" s="185"/>
      <c r="H136" s="186"/>
      <c r="I136" s="81">
        <f t="shared" si="1"/>
        <v>0</v>
      </c>
      <c r="J136" s="117"/>
      <c r="K136" s="116"/>
    </row>
    <row r="137">
      <c r="A137" s="242" t="s">
        <v>1198</v>
      </c>
      <c r="B137" s="314" t="str">
        <f>HYPERLINK("http://codeforces.com/contest/508/problem/C","CF508-D2-C")</f>
        <v>CF508-D2-C</v>
      </c>
      <c r="C137" s="185"/>
      <c r="D137" s="185"/>
      <c r="E137" s="185"/>
      <c r="F137" s="185"/>
      <c r="G137" s="185"/>
      <c r="H137" s="186"/>
      <c r="I137" s="81">
        <f t="shared" si="1"/>
        <v>0</v>
      </c>
      <c r="J137" s="117"/>
      <c r="K137" s="116"/>
    </row>
    <row r="138">
      <c r="A138" s="242" t="s">
        <v>1199</v>
      </c>
      <c r="B138" s="261" t="str">
        <f>HYPERLINK("http://codeforces.com/contest/895/problem/C","CF448-D2-C")</f>
        <v>CF448-D2-C</v>
      </c>
      <c r="C138" s="185"/>
      <c r="D138" s="185"/>
      <c r="E138" s="185"/>
      <c r="F138" s="185"/>
      <c r="G138" s="185"/>
      <c r="H138" s="186"/>
      <c r="I138" s="81">
        <f t="shared" si="1"/>
        <v>0</v>
      </c>
      <c r="J138" s="117"/>
      <c r="K138" s="116"/>
    </row>
    <row r="139">
      <c r="A139" s="192"/>
      <c r="C139" s="185"/>
      <c r="D139" s="185"/>
      <c r="E139" s="185"/>
      <c r="F139" s="185"/>
      <c r="G139" s="185"/>
      <c r="H139" s="186"/>
      <c r="I139" s="81">
        <f t="shared" si="1"/>
        <v>0</v>
      </c>
      <c r="J139" s="86"/>
      <c r="K139" s="80"/>
    </row>
    <row r="140">
      <c r="A140" s="285" t="s">
        <v>1200</v>
      </c>
      <c r="B140" s="378" t="str">
        <f>HYPERLINK("https://uva.onlinejudge.org/index.php?option=onlinejudge&amp;page=show_problem&amp;problem=2501","UVA 11506")</f>
        <v>UVA 11506</v>
      </c>
      <c r="C140" s="185"/>
      <c r="D140" s="185"/>
      <c r="E140" s="185"/>
      <c r="F140" s="185"/>
      <c r="G140" s="185"/>
      <c r="H140" s="186"/>
      <c r="I140" s="81">
        <f t="shared" si="1"/>
        <v>0</v>
      </c>
      <c r="J140" s="86"/>
      <c r="K140" s="80"/>
      <c r="M140" s="212" t="str">
        <f>HYPERLINK("https://github.com/abdullaAshraf/Problem-Solving/blob/master/UVA/11506.cpp","Sol")</f>
        <v>Sol</v>
      </c>
    </row>
    <row r="141">
      <c r="A141" s="307" t="s">
        <v>1201</v>
      </c>
      <c r="B141" s="378" t="str">
        <f>HYPERLINK("https://uva.onlinejudge.org/index.php?option=com_onlinejudge&amp;Itemid=8&amp;page=show_problem&amp;problem=1683","UVA 10742")</f>
        <v>UVA 10742</v>
      </c>
      <c r="C141" s="185"/>
      <c r="D141" s="185"/>
      <c r="E141" s="185"/>
      <c r="F141" s="185"/>
      <c r="G141" s="185"/>
      <c r="H141" s="186"/>
      <c r="I141" s="81">
        <f t="shared" si="1"/>
        <v>0</v>
      </c>
      <c r="J141" s="86"/>
      <c r="K141" s="80"/>
      <c r="M141" s="212" t="str">
        <f>HYPERLINK("https://github.com/abdullaAshraf/Problem-Solving/blob/master/UVA/10742.cpp","Sol")</f>
        <v>Sol</v>
      </c>
    </row>
    <row r="142">
      <c r="A142" s="319" t="s">
        <v>1202</v>
      </c>
      <c r="B142" s="240" t="str">
        <f>HYPERLINK("http://www.spoj.com/problems/MULTQ3/","SPOJ MULTQ3")</f>
        <v>SPOJ MULTQ3</v>
      </c>
      <c r="C142" s="185"/>
      <c r="D142" s="185"/>
      <c r="E142" s="185"/>
      <c r="F142" s="185"/>
      <c r="G142" s="185"/>
      <c r="H142" s="186"/>
      <c r="I142" s="81">
        <f t="shared" si="1"/>
        <v>0</v>
      </c>
      <c r="J142" s="47"/>
      <c r="K142" s="50"/>
      <c r="M142" s="212" t="str">
        <f>HYPERLINK("https://github.com/BRAINOOOO/CompetitiveProgramming/blob/master/Spoj/SPOJ%20MULTQ3.Cpp","Sol")</f>
        <v>Sol</v>
      </c>
    </row>
    <row r="143">
      <c r="A143" s="398" t="str">
        <f>HYPERLINK("https://community.topcoder.com/stat?c=problem_statement&amp;pm=11049&amp;rd=14245","TimeTravellingSalesman")</f>
        <v>TimeTravellingSalesman</v>
      </c>
      <c r="B143" s="397" t="s">
        <v>1203</v>
      </c>
      <c r="C143" s="185"/>
      <c r="D143" s="185"/>
      <c r="E143" s="185"/>
      <c r="F143" s="185"/>
      <c r="G143" s="185"/>
      <c r="H143" s="186"/>
      <c r="I143" s="81">
        <f t="shared" si="1"/>
        <v>0</v>
      </c>
      <c r="J143" s="86"/>
      <c r="K143" s="80"/>
    </row>
    <row r="144">
      <c r="A144" s="307" t="s">
        <v>1204</v>
      </c>
      <c r="B144" s="378" t="str">
        <f>HYPERLINK("https://uva.onlinejudge.org/index.php?option=com_onlinejudge&amp;Itemid=8&amp;page=show_problem&amp;problem=3277","UVA 12125")</f>
        <v>UVA 12125</v>
      </c>
      <c r="C144" s="185"/>
      <c r="D144" s="185"/>
      <c r="E144" s="185"/>
      <c r="F144" s="185"/>
      <c r="G144" s="185"/>
      <c r="H144" s="186"/>
      <c r="I144" s="81">
        <f t="shared" si="1"/>
        <v>0</v>
      </c>
      <c r="J144" s="86"/>
      <c r="K144" s="80"/>
      <c r="M144" s="212" t="str">
        <f>HYPERLINK("https://github.com/mostafa-saad/MyCompetitiveProgramming/blob/master/UVA/UVA_12125.txt","Sol")</f>
        <v>Sol</v>
      </c>
    </row>
    <row r="145">
      <c r="A145" s="399" t="str">
        <f>HYPERLINK("https://community.topcoder.com/stat?c=problem_statement&amp;pm=10580","PeopleYouMayKnow")</f>
        <v>PeopleYouMayKnow</v>
      </c>
      <c r="B145" s="397" t="s">
        <v>1205</v>
      </c>
      <c r="C145" s="185"/>
      <c r="D145" s="185"/>
      <c r="E145" s="185"/>
      <c r="F145" s="185"/>
      <c r="G145" s="185"/>
      <c r="H145" s="186"/>
      <c r="I145" s="81">
        <f t="shared" si="1"/>
        <v>0</v>
      </c>
      <c r="J145" s="86"/>
      <c r="K145" s="80"/>
      <c r="M145" s="238" t="str">
        <f>HYPERLINK("https://github.com/MohamedNabil97/CompetitiveProgramming/blob/master/TopCoder/SRM447-D1-500.cpp","Don't use DP. Check it later in editorial. Sol")</f>
        <v>Don't use DP. Check it later in editorial. Sol</v>
      </c>
    </row>
    <row r="146">
      <c r="A146" s="307" t="s">
        <v>1206</v>
      </c>
      <c r="B146" s="378" t="str">
        <f>HYPERLINK("https://uva.onlinejudge.org/index.php?option=com_onlinejudge&amp;Itemid=8&amp;page=show_problem&amp;problem=1519","UVA 10578")</f>
        <v>UVA 10578</v>
      </c>
      <c r="C146" s="185"/>
      <c r="D146" s="185"/>
      <c r="E146" s="185"/>
      <c r="F146" s="185"/>
      <c r="G146" s="185"/>
      <c r="H146" s="186"/>
      <c r="I146" s="81">
        <f t="shared" si="1"/>
        <v>0</v>
      </c>
      <c r="J146" s="86"/>
      <c r="K146" s="80"/>
      <c r="M146" s="238" t="str">
        <f>HYPERLINK("https://github.com/abdullaAshraf/Problem-Solving/blob/master/UVA/10578.cpp","Sol")</f>
        <v>Sol</v>
      </c>
    </row>
    <row r="147">
      <c r="A147" s="307" t="s">
        <v>1207</v>
      </c>
      <c r="B147" s="378" t="str">
        <f>HYPERLINK("http://www.spoj.com/problems/GSS4","SPOJ GSS4")</f>
        <v>SPOJ GSS4</v>
      </c>
      <c r="C147" s="185"/>
      <c r="D147" s="185"/>
      <c r="E147" s="185"/>
      <c r="F147" s="185"/>
      <c r="G147" s="185"/>
      <c r="H147" s="186"/>
      <c r="I147" s="81">
        <f t="shared" si="1"/>
        <v>0</v>
      </c>
      <c r="J147" s="86"/>
      <c r="K147" s="80"/>
      <c r="M147" s="238" t="str">
        <f>HYPERLINK("https://github.com/abdullaAshraf/Problem-Solving/blob/master/SPOJ/GSS4.cpp","Sol")</f>
        <v>Sol</v>
      </c>
    </row>
    <row r="148">
      <c r="A148" s="307" t="s">
        <v>1208</v>
      </c>
      <c r="B148" s="378" t="str">
        <f>HYPERLINK("acm.tju.edu.cn/toj/showp1011.html","TJU 1011")</f>
        <v>TJU 1011</v>
      </c>
      <c r="C148" s="185"/>
      <c r="D148" s="185"/>
      <c r="E148" s="185"/>
      <c r="F148" s="185"/>
      <c r="G148" s="185"/>
      <c r="H148" s="186"/>
      <c r="I148" s="81">
        <f t="shared" si="1"/>
        <v>0</v>
      </c>
      <c r="J148" s="86"/>
      <c r="K148" s="80"/>
      <c r="M148" s="238" t="str">
        <f>HYPERLINK("https://github.com/MedoN11/CompetitiveProgramming/blob/master/TJU/1011.cpp","Sol")</f>
        <v>Sol</v>
      </c>
    </row>
    <row r="149">
      <c r="A149" s="307" t="s">
        <v>1209</v>
      </c>
      <c r="B149" s="378" t="str">
        <f>HYPERLINK("http://codeforces.com/contest/801/problem/D","CF801-D2-D")</f>
        <v>CF801-D2-D</v>
      </c>
      <c r="C149" s="185"/>
      <c r="D149" s="185"/>
      <c r="E149" s="185"/>
      <c r="F149" s="185"/>
      <c r="G149" s="185"/>
      <c r="H149" s="186"/>
      <c r="I149" s="81">
        <f t="shared" si="1"/>
        <v>0</v>
      </c>
      <c r="J149" s="86"/>
      <c r="K149" s="80"/>
      <c r="L149" s="213"/>
      <c r="M149" s="264" t="str">
        <f>HYPERLINK("https://github.com/MeGaCrazy/CompetitiveProgramming/blob/ff934b5231a55818d401805db5e0caa0720a1fa4/Codeforces/CF801-D2-D.cpp","Sol")</f>
        <v>Sol</v>
      </c>
    </row>
    <row r="150">
      <c r="A150" s="400" t="s">
        <v>1210</v>
      </c>
      <c r="B150" s="401" t="str">
        <f>HYPERLINK("https://uva.onlinejudge.org/index.php?option=onlinejudge&amp;page=show_problem&amp;problem=1928","UVA 10987")</f>
        <v>UVA 10987</v>
      </c>
      <c r="C150" s="185"/>
      <c r="D150" s="185"/>
      <c r="E150" s="185"/>
      <c r="F150" s="185"/>
      <c r="G150" s="185"/>
      <c r="H150" s="186"/>
      <c r="I150" s="81">
        <f t="shared" si="1"/>
        <v>0</v>
      </c>
      <c r="J150" s="117"/>
      <c r="K150" s="116"/>
      <c r="M150" s="238" t="str">
        <f>HYPERLINK("https://github.com/abdullaAshraf/Problem-Solving/blob/master/UVA/10987.cpp","Sol")</f>
        <v>Sol</v>
      </c>
    </row>
    <row r="151">
      <c r="A151" s="319" t="s">
        <v>1211</v>
      </c>
      <c r="B151" s="320" t="str">
        <f>HYPERLINK("http://codeforces.com/contest/631/problem/D","CF631-D2-D")</f>
        <v>CF631-D2-D</v>
      </c>
      <c r="C151" s="185"/>
      <c r="D151" s="185"/>
      <c r="E151" s="185"/>
      <c r="F151" s="185"/>
      <c r="G151" s="185"/>
      <c r="H151" s="186"/>
      <c r="I151" s="81">
        <f t="shared" si="1"/>
        <v>0</v>
      </c>
      <c r="J151" s="117"/>
      <c r="K151" s="116"/>
      <c r="L151" s="50"/>
      <c r="M151" s="50"/>
    </row>
    <row r="152">
      <c r="A152" s="319"/>
      <c r="B152" s="319" t="s">
        <v>1212</v>
      </c>
      <c r="C152" s="185"/>
      <c r="D152" s="185"/>
      <c r="E152" s="185"/>
      <c r="F152" s="185"/>
      <c r="G152" s="185"/>
      <c r="H152" s="186"/>
      <c r="I152" s="81">
        <f t="shared" si="1"/>
        <v>0</v>
      </c>
      <c r="J152" s="117"/>
      <c r="K152" s="116"/>
      <c r="L152" s="50"/>
      <c r="M152" s="50"/>
    </row>
    <row r="153">
      <c r="A153" s="319"/>
      <c r="B153" s="319" t="s">
        <v>1213</v>
      </c>
      <c r="C153" s="185"/>
      <c r="D153" s="185"/>
      <c r="E153" s="185"/>
      <c r="F153" s="185"/>
      <c r="G153" s="185"/>
      <c r="H153" s="186"/>
      <c r="I153" s="81">
        <f t="shared" si="1"/>
        <v>0</v>
      </c>
      <c r="J153" s="117"/>
      <c r="K153" s="116"/>
      <c r="L153" s="50"/>
      <c r="M153" s="50"/>
    </row>
    <row r="154">
      <c r="A154" s="319"/>
      <c r="B154" s="320" t="str">
        <f>HYPERLINK("http://codeforces.com/contest/280/problem/C","CF280-D1-C")</f>
        <v>CF280-D1-C</v>
      </c>
      <c r="C154" s="185"/>
      <c r="D154" s="185"/>
      <c r="E154" s="185"/>
      <c r="F154" s="185"/>
      <c r="G154" s="185"/>
      <c r="H154" s="186"/>
      <c r="I154" s="81">
        <f t="shared" si="1"/>
        <v>0</v>
      </c>
      <c r="J154" s="117"/>
      <c r="K154" s="116"/>
      <c r="L154" s="50"/>
      <c r="M154" s="50"/>
    </row>
    <row r="155">
      <c r="A155" s="319"/>
      <c r="B155" s="320" t="str">
        <f>HYPERLINK("http://codeforces.com/contest/110/problem/D","CF110-D2-D")</f>
        <v>CF110-D2-D</v>
      </c>
      <c r="C155" s="185"/>
      <c r="D155" s="185"/>
      <c r="E155" s="185"/>
      <c r="F155" s="185"/>
      <c r="G155" s="185"/>
      <c r="H155" s="186"/>
      <c r="I155" s="81">
        <f t="shared" si="1"/>
        <v>0</v>
      </c>
      <c r="J155" s="117"/>
      <c r="K155" s="116"/>
      <c r="L155" s="50"/>
      <c r="M155" s="50"/>
    </row>
    <row r="156">
      <c r="A156" s="319"/>
      <c r="B156" s="320" t="str">
        <f>HYPERLINK("http://codeforces.com/contest/163/problem/C","CF163-D12-C")</f>
        <v>CF163-D12-C</v>
      </c>
      <c r="C156" s="185"/>
      <c r="D156" s="185"/>
      <c r="E156" s="185"/>
      <c r="F156" s="185"/>
      <c r="G156" s="185"/>
      <c r="H156" s="186"/>
      <c r="I156" s="81">
        <f t="shared" si="1"/>
        <v>0</v>
      </c>
      <c r="J156" s="117"/>
      <c r="K156" s="116"/>
      <c r="L156" s="50"/>
      <c r="M156" s="50"/>
    </row>
    <row r="157">
      <c r="A157" s="319"/>
      <c r="B157" s="320" t="str">
        <f>HYPERLINK("http://codeforces.com/contest/455/problem/B","CF455-D1-B")</f>
        <v>CF455-D1-B</v>
      </c>
      <c r="C157" s="185"/>
      <c r="D157" s="185"/>
      <c r="E157" s="185"/>
      <c r="F157" s="185"/>
      <c r="G157" s="185"/>
      <c r="H157" s="186"/>
      <c r="I157" s="81">
        <f t="shared" si="1"/>
        <v>0</v>
      </c>
      <c r="J157" s="117"/>
      <c r="K157" s="116"/>
      <c r="L157" s="50"/>
      <c r="M157" s="50"/>
    </row>
    <row r="158">
      <c r="A158" s="192"/>
      <c r="C158" s="185"/>
      <c r="D158" s="185"/>
      <c r="E158" s="185"/>
      <c r="F158" s="185"/>
      <c r="G158" s="185"/>
      <c r="H158" s="186"/>
      <c r="I158" s="81">
        <f t="shared" si="1"/>
        <v>0</v>
      </c>
      <c r="J158" s="86"/>
      <c r="K158" s="80"/>
      <c r="L158" s="50"/>
      <c r="M158" s="110"/>
    </row>
    <row r="159">
      <c r="A159" s="192" t="s">
        <v>1214</v>
      </c>
      <c r="B159" s="382" t="str">
        <f>HYPERLINK("http://codeforces.com/contest/197/problem/D","CF197-D2-D")</f>
        <v>CF197-D2-D</v>
      </c>
      <c r="C159" s="185"/>
      <c r="D159" s="185"/>
      <c r="E159" s="185"/>
      <c r="F159" s="185"/>
      <c r="G159" s="185"/>
      <c r="H159" s="186"/>
      <c r="I159" s="81">
        <f t="shared" si="1"/>
        <v>0</v>
      </c>
      <c r="J159" s="86"/>
      <c r="K159" s="80"/>
      <c r="L159" s="50"/>
      <c r="M159" s="110"/>
    </row>
    <row r="160">
      <c r="A160" s="192" t="s">
        <v>1215</v>
      </c>
      <c r="B160" s="382" t="str">
        <f>HYPERLINK("http://codeforces.com/contest/352/problem/D","CF352-D2-D")</f>
        <v>CF352-D2-D</v>
      </c>
      <c r="C160" s="185"/>
      <c r="D160" s="185"/>
      <c r="E160" s="185"/>
      <c r="F160" s="185"/>
      <c r="G160" s="185"/>
      <c r="H160" s="186"/>
      <c r="I160" s="81">
        <f t="shared" si="1"/>
        <v>0</v>
      </c>
      <c r="J160" s="86"/>
      <c r="K160" s="80"/>
      <c r="L160" s="50"/>
      <c r="M160" s="238" t="str">
        <f>HYPERLINK("https://github.com/BRAINOOOO/CompetitiveProgramming/blob/0577cb43f4a000eca9870ccc375c95381224aed1/CF/CF352-D2-D","Sol")</f>
        <v>Sol</v>
      </c>
    </row>
    <row r="161">
      <c r="A161" s="192" t="s">
        <v>1216</v>
      </c>
      <c r="B161" s="402" t="str">
        <f>HYPERLINK("http://codeforces.com/contest/812/problem/D","CF812-D2-D")</f>
        <v>CF812-D2-D</v>
      </c>
      <c r="C161" s="185"/>
      <c r="D161" s="185"/>
      <c r="E161" s="185"/>
      <c r="F161" s="185"/>
      <c r="G161" s="185"/>
      <c r="H161" s="186"/>
      <c r="I161" s="81">
        <f t="shared" si="1"/>
        <v>0</v>
      </c>
      <c r="J161" s="86"/>
      <c r="K161" s="80"/>
      <c r="L161" s="50"/>
      <c r="M161" s="238" t="str">
        <f>HYPERLINK("https://github.com/BRAINOOOO/CompetitiveProgramming/blob/master/CF/CF812-D2-D","Sol")</f>
        <v>Sol</v>
      </c>
    </row>
    <row r="162">
      <c r="A162" s="110" t="s">
        <v>1217</v>
      </c>
      <c r="B162" s="213" t="str">
        <f>HYPERLINK("http://codeforces.com/contest/242/problem/D","CF242-D2-D")</f>
        <v>CF242-D2-D</v>
      </c>
      <c r="C162" s="185"/>
      <c r="D162" s="185"/>
      <c r="E162" s="185"/>
      <c r="F162" s="185"/>
      <c r="G162" s="185"/>
      <c r="H162" s="186"/>
      <c r="I162" s="81">
        <f t="shared" si="1"/>
        <v>0</v>
      </c>
      <c r="J162" s="117"/>
      <c r="K162" s="116"/>
      <c r="L162" s="50"/>
      <c r="M162" s="50"/>
    </row>
    <row r="163">
      <c r="A163" s="110" t="s">
        <v>1218</v>
      </c>
      <c r="B163" s="323" t="str">
        <f>HYPERLINK("http://codeforces.com/contest/688/problem/D","CF688-D2-D")</f>
        <v>CF688-D2-D</v>
      </c>
      <c r="C163" s="185"/>
      <c r="D163" s="185"/>
      <c r="E163" s="185"/>
      <c r="F163" s="185"/>
      <c r="G163" s="185"/>
      <c r="H163" s="186"/>
      <c r="I163" s="81">
        <f t="shared" si="1"/>
        <v>0</v>
      </c>
      <c r="J163" s="117"/>
      <c r="K163" s="116"/>
      <c r="L163" s="50"/>
      <c r="M163" s="50"/>
    </row>
    <row r="164">
      <c r="A164" s="184"/>
      <c r="B164" s="323" t="str">
        <f>HYPERLINK("http://codeforces.com/contest/1075/problem/D","CF1075-D2-D")</f>
        <v>CF1075-D2-D</v>
      </c>
      <c r="C164" s="185"/>
      <c r="D164" s="185"/>
      <c r="E164" s="185"/>
      <c r="F164" s="185"/>
      <c r="G164" s="185"/>
      <c r="H164" s="186"/>
      <c r="I164" s="81">
        <f t="shared" si="1"/>
        <v>0</v>
      </c>
      <c r="J164" s="117"/>
      <c r="K164" s="116"/>
      <c r="L164" s="50"/>
      <c r="M164" s="50"/>
    </row>
    <row r="165">
      <c r="A165" s="184"/>
      <c r="B165" s="323" t="str">
        <f>HYPERLINK("http://codeforces.com/problemset/problem/1033/D", "CF1033-D12-D")</f>
        <v>CF1033-D12-D</v>
      </c>
      <c r="C165" s="185"/>
      <c r="D165" s="185"/>
      <c r="E165" s="185"/>
      <c r="F165" s="185"/>
      <c r="G165" s="185"/>
      <c r="H165" s="186"/>
      <c r="I165" s="81">
        <f t="shared" si="1"/>
        <v>0</v>
      </c>
      <c r="J165" s="117"/>
      <c r="K165" s="116"/>
      <c r="L165" s="50"/>
      <c r="M165" s="50"/>
    </row>
    <row r="166">
      <c r="A166" s="184"/>
      <c r="B166" s="323" t="str">
        <f>HYPERLINK("http://codeforces.com/problemset/problem/442/B","CF442-D1-B")</f>
        <v>CF442-D1-B</v>
      </c>
      <c r="C166" s="185"/>
      <c r="D166" s="185"/>
      <c r="E166" s="185"/>
      <c r="F166" s="185"/>
      <c r="G166" s="185"/>
      <c r="H166" s="186"/>
      <c r="I166" s="81">
        <f t="shared" si="1"/>
        <v>0</v>
      </c>
      <c r="J166" s="117"/>
      <c r="K166" s="116"/>
      <c r="L166" s="50"/>
      <c r="M166" s="50"/>
    </row>
    <row r="167">
      <c r="A167" s="184"/>
      <c r="B167" s="323" t="str">
        <f>HYPERLINK("http://codeforces.com/contest/1025/problem/D","CF1025-D2-D")</f>
        <v>CF1025-D2-D</v>
      </c>
      <c r="C167" s="185"/>
      <c r="D167" s="185"/>
      <c r="E167" s="185"/>
      <c r="F167" s="185"/>
      <c r="G167" s="185"/>
      <c r="H167" s="186"/>
      <c r="I167" s="81">
        <f t="shared" si="1"/>
        <v>0</v>
      </c>
      <c r="J167" s="117"/>
      <c r="K167" s="116"/>
      <c r="L167" s="50"/>
      <c r="M167" s="50"/>
    </row>
    <row r="168">
      <c r="A168" s="184"/>
      <c r="B168" s="323" t="str">
        <f>HYPERLINK("http://codeforces.com/contest/1071/problem/B","CF1072-D2-D")</f>
        <v>CF1072-D2-D</v>
      </c>
      <c r="C168" s="185"/>
      <c r="D168" s="185"/>
      <c r="E168" s="185"/>
      <c r="F168" s="185"/>
      <c r="G168" s="185"/>
      <c r="H168" s="186"/>
      <c r="I168" s="81">
        <f t="shared" si="1"/>
        <v>0</v>
      </c>
      <c r="J168" s="117"/>
      <c r="K168" s="116"/>
      <c r="L168" s="50"/>
      <c r="M168" s="50"/>
    </row>
  </sheetData>
  <conditionalFormatting sqref="K3:K168">
    <cfRule type="cellIs" dxfId="5" priority="1" operator="equal">
      <formula>"No"</formula>
    </cfRule>
  </conditionalFormatting>
  <conditionalFormatting sqref="K3:K168">
    <cfRule type="cellIs" dxfId="5" priority="2" operator="equal">
      <formula>"no"</formula>
    </cfRule>
  </conditionalFormatting>
  <conditionalFormatting sqref="K3:K168">
    <cfRule type="cellIs" dxfId="5" priority="3" operator="equal">
      <formula>"NO"</formula>
    </cfRule>
  </conditionalFormatting>
  <conditionalFormatting sqref="C3:C168">
    <cfRule type="cellIs" dxfId="0" priority="4" operator="equal">
      <formula>"AC"</formula>
    </cfRule>
  </conditionalFormatting>
  <conditionalFormatting sqref="C3:C168">
    <cfRule type="containsText" dxfId="1" priority="5" operator="containsText" text="WA">
      <formula>NOT(ISERROR(SEARCH(("WA"),(C3))))</formula>
    </cfRule>
  </conditionalFormatting>
  <conditionalFormatting sqref="C10:C168">
    <cfRule type="containsText" dxfId="1" priority="6" operator="containsText" text="WA">
      <formula>NOT(ISERROR(SEARCH(("WA"),(C10))))</formula>
    </cfRule>
  </conditionalFormatting>
  <conditionalFormatting sqref="C3:C168">
    <cfRule type="containsText" dxfId="2" priority="7" operator="containsText" text="TLE">
      <formula>NOT(ISERROR(SEARCH(("TLE"),(C3))))</formula>
    </cfRule>
  </conditionalFormatting>
  <conditionalFormatting sqref="C10:C168">
    <cfRule type="containsText" dxfId="2" priority="8" operator="containsText" text="TLE">
      <formula>NOT(ISERROR(SEARCH(("TLE"),(C10))))</formula>
    </cfRule>
  </conditionalFormatting>
  <conditionalFormatting sqref="C3:C168">
    <cfRule type="containsText" dxfId="3" priority="9" operator="containsText" text="RTE">
      <formula>NOT(ISERROR(SEARCH(("RTE"),(C3))))</formula>
    </cfRule>
  </conditionalFormatting>
  <conditionalFormatting sqref="C10:C168">
    <cfRule type="containsText" dxfId="3" priority="10" operator="containsText" text="RTE">
      <formula>NOT(ISERROR(SEARCH(("RTE"),(C10))))</formula>
    </cfRule>
  </conditionalFormatting>
  <conditionalFormatting sqref="C3:C168">
    <cfRule type="containsText" dxfId="4" priority="11" operator="containsText" text="CS">
      <formula>NOT(ISERROR(SEARCH(("CS"),(C3))))</formula>
    </cfRule>
  </conditionalFormatting>
  <conditionalFormatting sqref="C10:C168">
    <cfRule type="containsText" dxfId="4"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40.43"/>
    <col customWidth="1" min="14" max="14" width="36.14"/>
    <col customWidth="1" min="15" max="15" width="9.0"/>
    <col customWidth="1" min="16" max="16" width="5.29"/>
    <col customWidth="1" min="17" max="17" width="7.29"/>
  </cols>
  <sheetData>
    <row r="1">
      <c r="A1" s="403" t="s">
        <v>1219</v>
      </c>
      <c r="B1" s="404" t="s">
        <v>144</v>
      </c>
      <c r="C1" s="405" t="s">
        <v>145</v>
      </c>
      <c r="D1" s="406" t="s">
        <v>146</v>
      </c>
      <c r="E1" s="406" t="s">
        <v>147</v>
      </c>
      <c r="F1" s="405" t="s">
        <v>148</v>
      </c>
      <c r="G1" s="406" t="s">
        <v>149</v>
      </c>
      <c r="H1" s="406" t="s">
        <v>150</v>
      </c>
      <c r="I1" s="406" t="s">
        <v>151</v>
      </c>
      <c r="J1" s="405" t="s">
        <v>152</v>
      </c>
      <c r="K1" s="405" t="s">
        <v>153</v>
      </c>
      <c r="L1" s="405" t="s">
        <v>154</v>
      </c>
      <c r="M1" s="407" t="s">
        <v>1220</v>
      </c>
      <c r="N1" s="408" t="s">
        <v>1221</v>
      </c>
      <c r="O1" s="408" t="s">
        <v>1222</v>
      </c>
      <c r="P1" s="408" t="s">
        <v>1223</v>
      </c>
      <c r="Q1" s="408" t="s">
        <v>1224</v>
      </c>
    </row>
    <row r="2">
      <c r="A2" s="409"/>
      <c r="B2" s="410" t="s">
        <v>156</v>
      </c>
      <c r="C2" s="73">
        <f>countif(C8:C11369, "AC")</f>
        <v>0</v>
      </c>
      <c r="D2" s="74">
        <f>ROUND(SUMPRODUCT(D8:D11369,INT(EQ(C8:C11369, "AC")))/MAX(1, C2),1)</f>
        <v>0</v>
      </c>
      <c r="E2" s="74">
        <f>ROUND(SUMPRODUCT(E8:E11391,INT(EQ(C8:C11391, "AC")))/MAX(1, C2),0)</f>
        <v>0</v>
      </c>
      <c r="F2" s="74">
        <f>ROUND(SUMPRODUCT(F8:F11394,INT(EQ(C8:C11394, "AC")))/MAX(1, C2),0)</f>
        <v>0</v>
      </c>
      <c r="G2" s="74">
        <f>ROUND(SUMPRODUCT(G8:G11394,INT(EQ(C8:C11394, "AC")))/MAX(1, C2),0)</f>
        <v>0</v>
      </c>
      <c r="H2" s="74">
        <f>ROUND(SUMPRODUCT(H8:H11394,INT(EQ(C8:C11394, "AC")))/MAX(1, C2),0)</f>
        <v>0</v>
      </c>
      <c r="I2" s="74">
        <f>ROUND(SUMPRODUCT(I8:I11366,INT(EQ(C8:C11366, "AC")))/MAX(1, C2),0)</f>
        <v>0</v>
      </c>
      <c r="J2" s="74">
        <f>ROUND(SUMPRODUCT(J8:J11364,INT(EQ(C8:C11364, "AC")))/MAX(1, C2),1)</f>
        <v>0</v>
      </c>
      <c r="K2" s="74">
        <f>SUMPRODUCT(EQ(K8:K11369, "YES"),INT(EQ(C8:C11394, "AC")))</f>
        <v>0</v>
      </c>
      <c r="L2" s="75">
        <f>IFERROR(__xludf.DUMMYFUNCTION("COUNTA(FILTER(C8:C10861, NOT(REGEXMATCH(C8:C10861, ""AC""))))"),0.0)</f>
        <v>0</v>
      </c>
      <c r="M2" s="76">
        <f>IFERROR(__xludf.DUMMYFUNCTION("COUNTA(FILTER(C8:C10855, NOT(REGEXMATCH(C8:C10855, ""AC""))))"),0.0)</f>
        <v>0</v>
      </c>
      <c r="N2" s="76"/>
      <c r="O2" s="76"/>
      <c r="P2" s="76"/>
      <c r="Q2" s="76"/>
    </row>
    <row r="3">
      <c r="A3" s="107"/>
      <c r="B3" s="107"/>
      <c r="C3" s="411" t="s">
        <v>1225</v>
      </c>
      <c r="N3" s="287"/>
      <c r="O3" s="287"/>
      <c r="P3" s="412"/>
    </row>
    <row r="4">
      <c r="A4" s="107"/>
      <c r="B4" s="107"/>
      <c r="C4" s="411" t="s">
        <v>1226</v>
      </c>
      <c r="N4" s="287"/>
      <c r="O4" s="287"/>
      <c r="P4" s="412"/>
    </row>
    <row r="5">
      <c r="A5" s="107"/>
      <c r="B5" s="107"/>
      <c r="C5" s="411" t="s">
        <v>1227</v>
      </c>
      <c r="N5" s="287"/>
      <c r="O5" s="287"/>
      <c r="P5" s="412"/>
    </row>
    <row r="6">
      <c r="A6" s="107"/>
      <c r="B6" s="107"/>
      <c r="C6" s="413"/>
      <c r="D6" s="413"/>
      <c r="E6" s="413"/>
      <c r="F6" s="413"/>
      <c r="G6" s="413"/>
      <c r="H6" s="413"/>
      <c r="I6" s="413"/>
      <c r="J6" s="413"/>
      <c r="K6" s="413"/>
      <c r="L6" s="413"/>
      <c r="M6" s="414"/>
      <c r="N6" s="287"/>
      <c r="O6" s="287"/>
      <c r="P6" s="412"/>
    </row>
    <row r="7">
      <c r="A7" s="107" t="s">
        <v>181</v>
      </c>
      <c r="B7" s="415" t="str">
        <f>HYPERLINK("http://codeforces.com/contest/677/problem/A","CF677-D2-A")</f>
        <v>CF677-D2-A</v>
      </c>
      <c r="C7" s="185"/>
      <c r="D7" s="185"/>
      <c r="E7" s="185"/>
      <c r="F7" s="185"/>
      <c r="G7" s="185"/>
      <c r="H7" s="186"/>
      <c r="I7" s="81">
        <f t="shared" ref="I7:I901" si="1">SUM(E7:H7)</f>
        <v>0</v>
      </c>
      <c r="J7" s="86"/>
      <c r="K7" s="80"/>
      <c r="L7" s="86"/>
      <c r="M7" s="416" t="str">
        <f>HYPERLINK("http://codeforces.com/contest/677/submission/18185361","C++ Solution Example")</f>
        <v>C++ Solution Example</v>
      </c>
      <c r="N7" s="287" t="s">
        <v>1228</v>
      </c>
      <c r="O7" s="287">
        <v>1.0</v>
      </c>
      <c r="P7" s="412">
        <v>0.5</v>
      </c>
    </row>
    <row r="8">
      <c r="A8" s="107" t="s">
        <v>182</v>
      </c>
      <c r="B8" s="415" t="str">
        <f>HYPERLINK("http://codeforces.com/contest/734/problem/A","CF734-D2-A")</f>
        <v>CF734-D2-A</v>
      </c>
      <c r="C8" s="185"/>
      <c r="D8" s="185"/>
      <c r="E8" s="185"/>
      <c r="F8" s="185"/>
      <c r="G8" s="185"/>
      <c r="H8" s="186"/>
      <c r="I8" s="81">
        <f t="shared" si="1"/>
        <v>0</v>
      </c>
      <c r="J8" s="86"/>
      <c r="K8" s="80"/>
      <c r="L8" s="86"/>
      <c r="M8" s="417" t="str">
        <f>HYPERLINK("http://codeforces.com/blog/entry/48397","This is from Round 379. Here is the editorial")</f>
        <v>This is from Round 379. Here is the editorial</v>
      </c>
      <c r="N8" s="287" t="s">
        <v>1228</v>
      </c>
      <c r="O8" s="287">
        <v>1.0</v>
      </c>
      <c r="P8" s="412">
        <v>0.6</v>
      </c>
    </row>
    <row r="9">
      <c r="A9" s="107" t="s">
        <v>189</v>
      </c>
      <c r="B9" s="415" t="str">
        <f>HYPERLINK("http://codeforces.com/contest/112/problem/A","CF112-D2-A")</f>
        <v>CF112-D2-A</v>
      </c>
      <c r="C9" s="185"/>
      <c r="D9" s="185"/>
      <c r="E9" s="185"/>
      <c r="F9" s="185"/>
      <c r="G9" s="185"/>
      <c r="H9" s="186"/>
      <c r="I9" s="81">
        <f t="shared" si="1"/>
        <v>0</v>
      </c>
      <c r="J9" s="120"/>
      <c r="K9" s="80"/>
      <c r="L9" s="120"/>
      <c r="M9" s="418" t="str">
        <f>HYPERLINK("https://www.youtube.com/watch?v=Sp4zWrDvGrk","Video Solution - Solver to be (Java)")</f>
        <v>Video Solution - Solver to be (Java)</v>
      </c>
      <c r="N9" s="287" t="s">
        <v>1228</v>
      </c>
      <c r="O9" s="287">
        <v>1.0</v>
      </c>
      <c r="P9" s="412">
        <v>1.0</v>
      </c>
    </row>
    <row r="10">
      <c r="A10" s="107" t="s">
        <v>200</v>
      </c>
      <c r="B10" s="415" t="str">
        <f>HYPERLINK("http://codeforces.com/contest/228/problem/A","CF228-D2-A")</f>
        <v>CF228-D2-A</v>
      </c>
      <c r="C10" s="185"/>
      <c r="D10" s="185"/>
      <c r="E10" s="185"/>
      <c r="F10" s="185"/>
      <c r="G10" s="185"/>
      <c r="H10" s="186"/>
      <c r="I10" s="81">
        <f t="shared" si="1"/>
        <v>0</v>
      </c>
      <c r="J10" s="86"/>
      <c r="K10" s="80"/>
      <c r="L10" s="86"/>
      <c r="M10" s="101" t="str">
        <f>HYPERLINK("https://www.youtube.com/watch?v=O0zvnXeQis4&amp;app=desktop#_=_","Video Solution - Eng Ahmead Raafat (Python)")</f>
        <v>Video Solution - Eng Ahmead Raafat (Python)</v>
      </c>
      <c r="N10" s="287" t="s">
        <v>1228</v>
      </c>
      <c r="O10" s="287">
        <v>1.0</v>
      </c>
      <c r="P10" s="412">
        <v>1.0</v>
      </c>
    </row>
    <row r="11">
      <c r="A11" s="107" t="s">
        <v>186</v>
      </c>
      <c r="B11" s="415" t="str">
        <f>HYPERLINK("http://codeforces.com/contest/231/problem/A","CF231-D2-A")</f>
        <v>CF231-D2-A</v>
      </c>
      <c r="C11" s="185"/>
      <c r="D11" s="185"/>
      <c r="E11" s="185"/>
      <c r="F11" s="185"/>
      <c r="G11" s="185"/>
      <c r="H11" s="186"/>
      <c r="I11" s="81">
        <f t="shared" si="1"/>
        <v>0</v>
      </c>
      <c r="J11" s="86"/>
      <c r="K11" s="80"/>
      <c r="L11" s="86"/>
      <c r="M11" s="101" t="str">
        <f>HYPERLINK("https://www.youtube.com/watch?v=P73Mv_GG_PY","Video Solution - Eng Youssef Ali")</f>
        <v>Video Solution - Eng Youssef Ali</v>
      </c>
      <c r="N11" s="287" t="s">
        <v>1228</v>
      </c>
      <c r="O11" s="287">
        <v>1.0</v>
      </c>
      <c r="P11" s="412">
        <v>1.0</v>
      </c>
    </row>
    <row r="12">
      <c r="A12" s="107" t="s">
        <v>190</v>
      </c>
      <c r="B12" s="415" t="str">
        <f>HYPERLINK("http://codeforces.com/contest/236/problem/A","CF236-D2-A")</f>
        <v>CF236-D2-A</v>
      </c>
      <c r="C12" s="185"/>
      <c r="D12" s="185"/>
      <c r="E12" s="185"/>
      <c r="F12" s="185"/>
      <c r="G12" s="185"/>
      <c r="H12" s="186"/>
      <c r="I12" s="81">
        <f t="shared" si="1"/>
        <v>0</v>
      </c>
      <c r="J12" s="120"/>
      <c r="K12" s="80"/>
      <c r="L12" s="120"/>
      <c r="M12" s="418" t="str">
        <f>HYPERLINK("https://www.youtube.com/watch?v=AOOmuJXMyHQ","Video Solution - Solver to be (Java)")</f>
        <v>Video Solution - Solver to be (Java)</v>
      </c>
      <c r="N12" s="287" t="s">
        <v>1228</v>
      </c>
      <c r="O12" s="287">
        <v>1.0</v>
      </c>
      <c r="P12" s="412">
        <v>1.0</v>
      </c>
    </row>
    <row r="13">
      <c r="A13" s="107" t="s">
        <v>187</v>
      </c>
      <c r="B13" s="415" t="str">
        <f>HYPERLINK("http://codeforces.com/contest/263/problem/A","CF263-D2-A")</f>
        <v>CF263-D2-A</v>
      </c>
      <c r="C13" s="185"/>
      <c r="D13" s="185"/>
      <c r="E13" s="185"/>
      <c r="F13" s="185"/>
      <c r="G13" s="185"/>
      <c r="H13" s="186"/>
      <c r="I13" s="81">
        <f t="shared" si="1"/>
        <v>0</v>
      </c>
      <c r="J13" s="86"/>
      <c r="K13" s="80"/>
      <c r="L13" s="86"/>
      <c r="M13" s="101" t="str">
        <f>HYPERLINK("https://www.youtube.com/watch?v=FU4thrvEvKg","Video Solution - Eng Samed Hajajla")</f>
        <v>Video Solution - Eng Samed Hajajla</v>
      </c>
      <c r="N13" s="287" t="s">
        <v>1228</v>
      </c>
      <c r="O13" s="287">
        <v>1.0</v>
      </c>
      <c r="P13" s="412">
        <v>1.0</v>
      </c>
    </row>
    <row r="14">
      <c r="A14" s="107" t="s">
        <v>201</v>
      </c>
      <c r="B14" s="415" t="str">
        <f>HYPERLINK("http://codeforces.com/contest/265/problem/A","CF265-D2-A")</f>
        <v>CF265-D2-A</v>
      </c>
      <c r="C14" s="185"/>
      <c r="D14" s="185"/>
      <c r="E14" s="185"/>
      <c r="F14" s="185"/>
      <c r="G14" s="185"/>
      <c r="H14" s="186"/>
      <c r="I14" s="81">
        <f t="shared" si="1"/>
        <v>0</v>
      </c>
      <c r="J14" s="86"/>
      <c r="K14" s="80"/>
      <c r="L14" s="86"/>
      <c r="M14" s="101" t="str">
        <f>HYPERLINK("https://www.youtube.com/watch?v=ol_mjArjBCk","Video Solution - Eng Ahmead Raafat (Python)")</f>
        <v>Video Solution - Eng Ahmead Raafat (Python)</v>
      </c>
      <c r="N14" s="287" t="s">
        <v>1228</v>
      </c>
      <c r="O14" s="287">
        <v>1.0</v>
      </c>
      <c r="P14" s="412">
        <v>1.0</v>
      </c>
    </row>
    <row r="15">
      <c r="A15" s="107" t="s">
        <v>194</v>
      </c>
      <c r="B15" s="415" t="str">
        <f>HYPERLINK("http://codeforces.com/contest/266/problem/A","CF266-D2-A")</f>
        <v>CF266-D2-A</v>
      </c>
      <c r="C15" s="185"/>
      <c r="D15" s="185"/>
      <c r="E15" s="185"/>
      <c r="F15" s="185"/>
      <c r="G15" s="185"/>
      <c r="H15" s="186"/>
      <c r="I15" s="81">
        <f t="shared" si="1"/>
        <v>0</v>
      </c>
      <c r="J15" s="86"/>
      <c r="K15" s="80"/>
      <c r="L15" s="86"/>
      <c r="M15" s="101" t="str">
        <f>HYPERLINK("https://www.youtube.com/watch?v=3akdDnmPwOY&amp;feature=youtu.be","Video Solution - Eng Ahmead Raafat (Python)")</f>
        <v>Video Solution - Eng Ahmead Raafat (Python)</v>
      </c>
      <c r="N15" s="287" t="s">
        <v>1228</v>
      </c>
      <c r="O15" s="287">
        <v>1.0</v>
      </c>
      <c r="P15" s="412">
        <v>1.0</v>
      </c>
    </row>
    <row r="16">
      <c r="A16" s="107" t="s">
        <v>198</v>
      </c>
      <c r="B16" s="415" t="str">
        <f>HYPERLINK("http://codeforces.com/contest/268/problem/A","CF268-D2-A")</f>
        <v>CF268-D2-A</v>
      </c>
      <c r="C16" s="185"/>
      <c r="D16" s="185"/>
      <c r="E16" s="185"/>
      <c r="F16" s="185"/>
      <c r="G16" s="185"/>
      <c r="H16" s="186"/>
      <c r="I16" s="81">
        <f t="shared" si="1"/>
        <v>0</v>
      </c>
      <c r="J16" s="86"/>
      <c r="K16" s="80"/>
      <c r="L16" s="86"/>
      <c r="M16" s="101" t="str">
        <f>HYPERLINK("https://www.youtube.com/watch?v=lFt2GuQtmSs","Video Solution - Eng Yahia Ashraf")</f>
        <v>Video Solution - Eng Yahia Ashraf</v>
      </c>
      <c r="N16" s="287" t="s">
        <v>1228</v>
      </c>
      <c r="O16" s="287">
        <v>1.0</v>
      </c>
      <c r="P16" s="412">
        <v>1.0</v>
      </c>
    </row>
    <row r="17">
      <c r="A17" s="107" t="s">
        <v>273</v>
      </c>
      <c r="B17" s="415" t="str">
        <f>HYPERLINK("http://codeforces.com/contest/281/problem/A","CF281-D2-A")</f>
        <v>CF281-D2-A</v>
      </c>
      <c r="C17" s="185"/>
      <c r="D17" s="185"/>
      <c r="E17" s="185"/>
      <c r="F17" s="185"/>
      <c r="G17" s="185"/>
      <c r="H17" s="186"/>
      <c r="I17" s="81">
        <f t="shared" si="1"/>
        <v>0</v>
      </c>
      <c r="J17" s="120"/>
      <c r="K17" s="80"/>
      <c r="L17" s="120"/>
      <c r="M17" s="237" t="str">
        <f>HYPERLINK("https://www.youtube.com/watch?v=GctpZIJ8xBA","Video Solution - Solver to be (Java)")</f>
        <v>Video Solution - Solver to be (Java)</v>
      </c>
      <c r="N17" s="287" t="s">
        <v>1228</v>
      </c>
      <c r="O17" s="287">
        <v>1.0</v>
      </c>
      <c r="P17" s="412">
        <v>1.0</v>
      </c>
    </row>
    <row r="18">
      <c r="A18" s="107" t="s">
        <v>192</v>
      </c>
      <c r="B18" s="415" t="str">
        <f>HYPERLINK("http://codeforces.com/contest/344/problem/A","CF344-D2-A")</f>
        <v>CF344-D2-A</v>
      </c>
      <c r="C18" s="185"/>
      <c r="D18" s="185"/>
      <c r="E18" s="185"/>
      <c r="F18" s="185"/>
      <c r="G18" s="185"/>
      <c r="H18" s="186"/>
      <c r="I18" s="81">
        <f t="shared" si="1"/>
        <v>0</v>
      </c>
      <c r="J18" s="120"/>
      <c r="K18" s="80"/>
      <c r="L18" s="120"/>
      <c r="M18" s="237" t="str">
        <f>HYPERLINK("https://www.youtube.com/watch?v=7o7lZTKFzp0","Video Solution - Solver to be (Java)")</f>
        <v>Video Solution - Solver to be (Java)</v>
      </c>
      <c r="N18" s="287" t="s">
        <v>1228</v>
      </c>
      <c r="O18" s="287">
        <v>1.0</v>
      </c>
      <c r="P18" s="412">
        <v>1.0</v>
      </c>
    </row>
    <row r="19">
      <c r="A19" s="107" t="s">
        <v>193</v>
      </c>
      <c r="B19" s="415" t="str">
        <f>HYPERLINK("http://codeforces.com/contest/381/problem/A","CF381-D2-A")</f>
        <v>CF381-D2-A</v>
      </c>
      <c r="C19" s="185"/>
      <c r="D19" s="185"/>
      <c r="E19" s="185"/>
      <c r="F19" s="185"/>
      <c r="G19" s="185"/>
      <c r="H19" s="186"/>
      <c r="I19" s="81">
        <f t="shared" si="1"/>
        <v>0</v>
      </c>
      <c r="J19" s="120"/>
      <c r="K19" s="80"/>
      <c r="L19" s="120"/>
      <c r="M19" s="419" t="str">
        <f>HYPERLINK("https://www.youtube.com/watch?v=XgJ0DS3r_KE","Video Solution - Solver to be (Java)")</f>
        <v>Video Solution - Solver to be (Java)</v>
      </c>
      <c r="N19" s="287" t="s">
        <v>1228</v>
      </c>
      <c r="O19" s="287">
        <v>1.0</v>
      </c>
      <c r="P19" s="412">
        <v>1.0</v>
      </c>
    </row>
    <row r="20">
      <c r="A20" s="107" t="s">
        <v>188</v>
      </c>
      <c r="B20" s="415" t="str">
        <f>HYPERLINK("http://codeforces.com/contest/405/problem/A","CF405-D2-A")</f>
        <v>CF405-D2-A</v>
      </c>
      <c r="C20" s="185"/>
      <c r="D20" s="185"/>
      <c r="E20" s="185"/>
      <c r="F20" s="185"/>
      <c r="G20" s="185"/>
      <c r="H20" s="186"/>
      <c r="I20" s="81">
        <f t="shared" si="1"/>
        <v>0</v>
      </c>
      <c r="J20" s="120"/>
      <c r="K20" s="80"/>
      <c r="L20" s="120"/>
      <c r="M20" s="420" t="str">
        <f>HYPERLINK("https://www.youtube.com/watch?v=HNe9QW-1MJI","Video Solution - Eng John Gamal")</f>
        <v>Video Solution - Eng John Gamal</v>
      </c>
      <c r="N20" s="287" t="s">
        <v>1228</v>
      </c>
      <c r="O20" s="287">
        <v>1.0</v>
      </c>
      <c r="P20" s="412">
        <v>1.0</v>
      </c>
    </row>
    <row r="21">
      <c r="A21" s="107" t="s">
        <v>195</v>
      </c>
      <c r="B21" s="415" t="str">
        <f>HYPERLINK("http://codeforces.com/contest/427/problem/A","CF427-D2-A")</f>
        <v>CF427-D2-A</v>
      </c>
      <c r="C21" s="185"/>
      <c r="D21" s="185"/>
      <c r="E21" s="185"/>
      <c r="F21" s="185"/>
      <c r="G21" s="185"/>
      <c r="H21" s="186"/>
      <c r="I21" s="81">
        <f t="shared" si="1"/>
        <v>0</v>
      </c>
      <c r="J21" s="86"/>
      <c r="K21" s="80"/>
      <c r="L21" s="86"/>
      <c r="M21" s="101" t="str">
        <f>HYPERLINK("https://www.youtube.com/watch?v=PECOLs3YWR0&amp;feature=youtu.be","Video Solution - Eng Ahmead Raafat (Python)")</f>
        <v>Video Solution - Eng Ahmead Raafat (Python)</v>
      </c>
      <c r="N21" s="287" t="s">
        <v>1228</v>
      </c>
      <c r="O21" s="287">
        <v>1.0</v>
      </c>
      <c r="P21" s="412">
        <v>1.0</v>
      </c>
    </row>
    <row r="22">
      <c r="A22" s="107" t="s">
        <v>196</v>
      </c>
      <c r="B22" s="415" t="str">
        <f>HYPERLINK("http://codeforces.com/contest/431/problem/A","CF431-D2-A")</f>
        <v>CF431-D2-A</v>
      </c>
      <c r="C22" s="185"/>
      <c r="D22" s="185"/>
      <c r="E22" s="185"/>
      <c r="F22" s="185"/>
      <c r="G22" s="185"/>
      <c r="H22" s="186"/>
      <c r="I22" s="81">
        <f t="shared" si="1"/>
        <v>0</v>
      </c>
      <c r="J22" s="86"/>
      <c r="K22" s="80"/>
      <c r="L22" s="86"/>
      <c r="M22" s="101" t="str">
        <f>HYPERLINK("https://www.youtube.com/watch?v=mJYiMoX4t0k","Video Solution - Eng Ahmead Raafat (Python)")</f>
        <v>Video Solution - Eng Ahmead Raafat (Python)</v>
      </c>
      <c r="N22" s="287" t="s">
        <v>1228</v>
      </c>
      <c r="O22" s="287">
        <v>1.0</v>
      </c>
      <c r="P22" s="412">
        <v>1.0</v>
      </c>
    </row>
    <row r="23">
      <c r="A23" s="107" t="s">
        <v>191</v>
      </c>
      <c r="B23" s="415" t="str">
        <f>HYPERLINK("http://codeforces.com/contest/59/problem/A","CF59-D2-A")</f>
        <v>CF59-D2-A</v>
      </c>
      <c r="C23" s="185"/>
      <c r="D23" s="185"/>
      <c r="E23" s="185"/>
      <c r="F23" s="185"/>
      <c r="G23" s="185"/>
      <c r="H23" s="186"/>
      <c r="I23" s="81">
        <f t="shared" si="1"/>
        <v>0</v>
      </c>
      <c r="J23" s="120"/>
      <c r="K23" s="80"/>
      <c r="L23" s="120"/>
      <c r="M23" s="418" t="str">
        <f>HYPERLINK("https://www.youtube.com/watch?v=gW8YOQbMdDI","Video Solution - Solver to be (Java)")</f>
        <v>Video Solution - Solver to be (Java)</v>
      </c>
      <c r="N23" s="287" t="s">
        <v>1228</v>
      </c>
      <c r="O23" s="287">
        <v>1.0</v>
      </c>
      <c r="P23" s="412">
        <v>1.0</v>
      </c>
    </row>
    <row r="24">
      <c r="A24" s="107" t="s">
        <v>197</v>
      </c>
      <c r="B24" s="415" t="str">
        <f>HYPERLINK("http://codeforces.com/contest/731/problem/A","CF731-D2-A")</f>
        <v>CF731-D2-A</v>
      </c>
      <c r="C24" s="185"/>
      <c r="D24" s="185"/>
      <c r="E24" s="185"/>
      <c r="F24" s="185"/>
      <c r="G24" s="185"/>
      <c r="H24" s="186"/>
      <c r="I24" s="81">
        <f t="shared" si="1"/>
        <v>0</v>
      </c>
      <c r="J24" s="86"/>
      <c r="K24" s="80"/>
      <c r="L24" s="86"/>
      <c r="M24" s="101" t="str">
        <f>HYPERLINK("https://www.youtube.com/watch?v=pBhXYZKAFTM","Video Solution - Eng Yahia Ashraf")</f>
        <v>Video Solution - Eng Yahia Ashraf</v>
      </c>
      <c r="N24" s="287" t="s">
        <v>1228</v>
      </c>
      <c r="O24" s="287">
        <v>1.0</v>
      </c>
      <c r="P24" s="412">
        <v>1.0</v>
      </c>
    </row>
    <row r="25">
      <c r="A25" s="107" t="s">
        <v>199</v>
      </c>
      <c r="B25" s="415" t="str">
        <f>HYPERLINK("http://codeforces.com/contest/732/problem/A","CF732-D2-A")</f>
        <v>CF732-D2-A</v>
      </c>
      <c r="C25" s="185"/>
      <c r="D25" s="185"/>
      <c r="E25" s="185"/>
      <c r="F25" s="185"/>
      <c r="G25" s="185"/>
      <c r="H25" s="186"/>
      <c r="I25" s="81">
        <f t="shared" si="1"/>
        <v>0</v>
      </c>
      <c r="J25" s="86"/>
      <c r="K25" s="80"/>
      <c r="L25" s="86"/>
      <c r="M25" s="101" t="str">
        <f>HYPERLINK("https://www.youtube.com/watch?v=jKOSPuoplz0","Video Solution - Eng Yahia Ashraf")</f>
        <v>Video Solution - Eng Yahia Ashraf</v>
      </c>
      <c r="N25" s="287" t="s">
        <v>1228</v>
      </c>
      <c r="O25" s="287">
        <v>1.0</v>
      </c>
      <c r="P25" s="412">
        <v>1.0</v>
      </c>
    </row>
    <row r="26">
      <c r="A26" s="107" t="s">
        <v>185</v>
      </c>
      <c r="B26" s="415" t="str">
        <f>HYPERLINK("codeforces.com/contest/791/problem/A","CF791-D2-A")</f>
        <v>CF791-D2-A</v>
      </c>
      <c r="C26" s="185"/>
      <c r="D26" s="185"/>
      <c r="E26" s="185"/>
      <c r="F26" s="185"/>
      <c r="G26" s="185"/>
      <c r="H26" s="186"/>
      <c r="I26" s="81">
        <f t="shared" si="1"/>
        <v>0</v>
      </c>
      <c r="J26" s="86"/>
      <c r="K26" s="80"/>
      <c r="L26" s="86"/>
      <c r="M26" s="101" t="str">
        <f>HYPERLINK("https://www.youtube.com/watch?v=t05qYeiWGGc","Video Solution - Eng Youssef El Ghareeb")</f>
        <v>Video Solution - Eng Youssef El Ghareeb</v>
      </c>
      <c r="N26" s="287" t="s">
        <v>1228</v>
      </c>
      <c r="O26" s="287">
        <v>1.0</v>
      </c>
      <c r="P26" s="412">
        <v>1.0</v>
      </c>
    </row>
    <row r="27">
      <c r="A27" s="107" t="s">
        <v>252</v>
      </c>
      <c r="B27" s="415" t="str">
        <f>HYPERLINK("http://codeforces.com/contest/365/problem/A","CF365-D2-A")</f>
        <v>CF365-D2-A</v>
      </c>
      <c r="C27" s="185"/>
      <c r="D27" s="185"/>
      <c r="E27" s="185"/>
      <c r="F27" s="185"/>
      <c r="G27" s="185"/>
      <c r="H27" s="186"/>
      <c r="I27" s="81">
        <f t="shared" si="1"/>
        <v>0</v>
      </c>
      <c r="J27" s="160"/>
      <c r="K27" s="80"/>
      <c r="L27" s="160"/>
      <c r="M27" s="421" t="str">
        <f>HYPERLINK("https://www.youtube.com/watch?v=W5SLLnni1KM&amp;feature=youtu.be","Video Solution - Eng Muntaser Abukadeja")</f>
        <v>Video Solution - Eng Muntaser Abukadeja</v>
      </c>
      <c r="N27" s="412" t="s">
        <v>1229</v>
      </c>
      <c r="O27" s="412">
        <v>1.0</v>
      </c>
      <c r="P27" s="287">
        <v>1.5</v>
      </c>
    </row>
    <row r="28">
      <c r="A28" s="107" t="s">
        <v>263</v>
      </c>
      <c r="B28" s="415" t="str">
        <f>HYPERLINK("http://codeforces.com/contest/298/problem/A","CF298-D2-A")</f>
        <v>CF298-D2-A</v>
      </c>
      <c r="C28" s="185"/>
      <c r="D28" s="185"/>
      <c r="E28" s="185"/>
      <c r="F28" s="185"/>
      <c r="G28" s="185"/>
      <c r="H28" s="186"/>
      <c r="I28" s="81">
        <f t="shared" si="1"/>
        <v>0</v>
      </c>
      <c r="J28" s="120"/>
      <c r="K28" s="80"/>
      <c r="L28" s="120"/>
      <c r="M28" s="422" t="str">
        <f>HYPERLINK("https://www.youtube.com/watch?v=oX_hPHnYgMA","Video Solution - Dr Mostafa Saad")</f>
        <v>Video Solution - Dr Mostafa Saad</v>
      </c>
      <c r="N28" s="412" t="s">
        <v>1229</v>
      </c>
      <c r="O28" s="412">
        <v>1.0</v>
      </c>
      <c r="P28" s="287">
        <v>1.5</v>
      </c>
    </row>
    <row r="29">
      <c r="A29" s="107" t="s">
        <v>279</v>
      </c>
      <c r="B29" s="415" t="str">
        <f>HYPERLINK("http://codeforces.com/contest/118/problem/A","CF118-D2-A")</f>
        <v>CF118-D2-A</v>
      </c>
      <c r="C29" s="185"/>
      <c r="D29" s="185"/>
      <c r="E29" s="185"/>
      <c r="F29" s="185"/>
      <c r="G29" s="185"/>
      <c r="H29" s="186"/>
      <c r="I29" s="81">
        <f t="shared" si="1"/>
        <v>0</v>
      </c>
      <c r="J29" s="120"/>
      <c r="K29" s="80"/>
      <c r="L29" s="120"/>
      <c r="M29" s="418" t="str">
        <f>HYPERLINK("https://www.youtube.com/watch?v=fiYo2lKksN0","Video Solution - Solver to be (Java)")</f>
        <v>Video Solution - Solver to be (Java)</v>
      </c>
      <c r="N29" s="287" t="s">
        <v>1228</v>
      </c>
      <c r="O29" s="287">
        <v>1.0</v>
      </c>
      <c r="P29" s="412">
        <v>1.5</v>
      </c>
    </row>
    <row r="30">
      <c r="A30" s="107" t="s">
        <v>218</v>
      </c>
      <c r="B30" s="415" t="str">
        <f>HYPERLINK("http://codeforces.com/contest/136/problem/A","CF136-D2-A")</f>
        <v>CF136-D2-A</v>
      </c>
      <c r="C30" s="185"/>
      <c r="D30" s="185"/>
      <c r="E30" s="185"/>
      <c r="F30" s="185"/>
      <c r="G30" s="185"/>
      <c r="H30" s="186"/>
      <c r="I30" s="81">
        <f t="shared" si="1"/>
        <v>0</v>
      </c>
      <c r="J30" s="120"/>
      <c r="K30" s="80"/>
      <c r="L30" s="120"/>
      <c r="M30" s="423" t="str">
        <f>HYPERLINK("https://www.youtube.com/watch?v=MduaJDmo7RU","Video Solution - Eng Ahmed Rafaat (Python)")</f>
        <v>Video Solution - Eng Ahmed Rafaat (Python)</v>
      </c>
      <c r="N30" s="287" t="s">
        <v>1228</v>
      </c>
      <c r="O30" s="287">
        <v>1.0</v>
      </c>
      <c r="P30" s="412">
        <v>1.5</v>
      </c>
    </row>
    <row r="31">
      <c r="A31" s="107" t="s">
        <v>274</v>
      </c>
      <c r="B31" s="415" t="str">
        <f>HYPERLINK("http://codeforces.com/contest/158/problem/A","CF158-D12-A")</f>
        <v>CF158-D12-A</v>
      </c>
      <c r="C31" s="185"/>
      <c r="D31" s="185"/>
      <c r="E31" s="185"/>
      <c r="F31" s="185"/>
      <c r="G31" s="185"/>
      <c r="H31" s="186"/>
      <c r="I31" s="81">
        <f t="shared" si="1"/>
        <v>0</v>
      </c>
      <c r="J31" s="126"/>
      <c r="K31" s="80"/>
      <c r="L31" s="126"/>
      <c r="M31" s="418" t="str">
        <f>HYPERLINK("https://www.youtube.com/watch?v=jwF2F5D8j9o","Video Solution - Solver to be (Java)")</f>
        <v>Video Solution - Solver to be (Java)</v>
      </c>
      <c r="N31" s="287" t="s">
        <v>1228</v>
      </c>
      <c r="O31" s="287">
        <v>1.0</v>
      </c>
      <c r="P31" s="412">
        <v>1.5</v>
      </c>
    </row>
    <row r="32">
      <c r="A32" s="107" t="s">
        <v>224</v>
      </c>
      <c r="B32" s="415" t="str">
        <f>HYPERLINK("http://codeforces.com/contest/160/problem/A","CF160-D2-A")</f>
        <v>CF160-D2-A</v>
      </c>
      <c r="C32" s="185"/>
      <c r="D32" s="185"/>
      <c r="E32" s="185"/>
      <c r="F32" s="185"/>
      <c r="G32" s="185"/>
      <c r="H32" s="186"/>
      <c r="I32" s="81">
        <f t="shared" si="1"/>
        <v>0</v>
      </c>
      <c r="J32" s="120"/>
      <c r="K32" s="80"/>
      <c r="L32" s="120"/>
      <c r="M32" s="424" t="str">
        <f>HYPERLINK("https://www.youtube.com/watch?v=V6fh3b50nX8","Video Solution - Solver to be (Java)")</f>
        <v>Video Solution - Solver to be (Java)</v>
      </c>
      <c r="N32" s="287" t="s">
        <v>1228</v>
      </c>
      <c r="O32" s="287">
        <v>1.0</v>
      </c>
      <c r="P32" s="412">
        <v>1.5</v>
      </c>
    </row>
    <row r="33">
      <c r="A33" s="107" t="s">
        <v>238</v>
      </c>
      <c r="B33" s="415" t="str">
        <f>HYPERLINK("http://codeforces.com/contest/208/problem/A","CF208-D2-A")</f>
        <v>CF208-D2-A</v>
      </c>
      <c r="C33" s="185"/>
      <c r="D33" s="185"/>
      <c r="E33" s="185"/>
      <c r="F33" s="185"/>
      <c r="G33" s="185"/>
      <c r="H33" s="186"/>
      <c r="I33" s="81">
        <f t="shared" si="1"/>
        <v>0</v>
      </c>
      <c r="J33" s="120"/>
      <c r="K33" s="80"/>
      <c r="L33" s="120"/>
      <c r="M33" s="418" t="str">
        <f>HYPERLINK("https://www.youtube.com/watch?v=M4umpd8utSA","Video Solution - Solver to be (Java)")</f>
        <v>Video Solution - Solver to be (Java)</v>
      </c>
      <c r="N33" s="287" t="s">
        <v>1228</v>
      </c>
      <c r="O33" s="287">
        <v>1.0</v>
      </c>
      <c r="P33" s="412">
        <v>1.5</v>
      </c>
    </row>
    <row r="34">
      <c r="A34" s="107" t="s">
        <v>255</v>
      </c>
      <c r="B34" s="415" t="str">
        <f>HYPERLINK("http://codeforces.com/contest/218/problem/A","CF218-D2-A")</f>
        <v>CF218-D2-A</v>
      </c>
      <c r="C34" s="185"/>
      <c r="D34" s="185"/>
      <c r="E34" s="185"/>
      <c r="F34" s="185"/>
      <c r="G34" s="185"/>
      <c r="H34" s="186"/>
      <c r="I34" s="81">
        <f t="shared" si="1"/>
        <v>0</v>
      </c>
      <c r="J34" s="160"/>
      <c r="K34" s="80"/>
      <c r="L34" s="160"/>
      <c r="M34" s="421" t="str">
        <f>HYPERLINK("https://www.youtube.com/watch?v=qmGhxFPv5GI&amp;feature=youtu.be","Video Solution - Eng John Gamal")</f>
        <v>Video Solution - Eng John Gamal</v>
      </c>
      <c r="N34" s="287" t="s">
        <v>1228</v>
      </c>
      <c r="O34" s="287">
        <v>1.0</v>
      </c>
      <c r="P34" s="412">
        <v>1.5</v>
      </c>
    </row>
    <row r="35">
      <c r="A35" s="107" t="s">
        <v>253</v>
      </c>
      <c r="B35" s="415" t="str">
        <f>HYPERLINK("http://codeforces.com/contest/225/problem/A","CF225-D2-A")</f>
        <v>CF225-D2-A</v>
      </c>
      <c r="C35" s="185"/>
      <c r="D35" s="185"/>
      <c r="E35" s="185"/>
      <c r="F35" s="185"/>
      <c r="G35" s="185"/>
      <c r="H35" s="186"/>
      <c r="I35" s="81">
        <f t="shared" si="1"/>
        <v>0</v>
      </c>
      <c r="J35" s="160"/>
      <c r="K35" s="80"/>
      <c r="L35" s="160"/>
      <c r="M35" s="421" t="str">
        <f>HYPERLINK("https://www.youtube.com/watch?v=AU4cdWZrKNA&amp;feature=youtu.be","Video Solution - Eng Muntaser Abukadeja")</f>
        <v>Video Solution - Eng Muntaser Abukadeja</v>
      </c>
      <c r="N35" s="287" t="s">
        <v>1228</v>
      </c>
      <c r="O35" s="287">
        <v>1.0</v>
      </c>
      <c r="P35" s="412">
        <v>1.5</v>
      </c>
    </row>
    <row r="36">
      <c r="A36" s="107" t="s">
        <v>249</v>
      </c>
      <c r="B36" s="415" t="str">
        <f>HYPERLINK("http://codeforces.com/contest/270/problem/A","CF270-D2-A")</f>
        <v>CF270-D2-A</v>
      </c>
      <c r="C36" s="185"/>
      <c r="D36" s="185"/>
      <c r="E36" s="185"/>
      <c r="F36" s="185"/>
      <c r="G36" s="185"/>
      <c r="H36" s="186"/>
      <c r="I36" s="81">
        <f t="shared" si="1"/>
        <v>0</v>
      </c>
      <c r="J36" s="120"/>
      <c r="K36" s="80"/>
      <c r="L36" s="120"/>
      <c r="M36" s="219" t="str">
        <f>HYPERLINK("https://www.youtube.com/watch?v=ShgpJWttyxw","Video Solution - Eng Omar Ashraf")</f>
        <v>Video Solution - Eng Omar Ashraf</v>
      </c>
      <c r="N36" s="287" t="s">
        <v>1228</v>
      </c>
      <c r="O36" s="287">
        <v>1.0</v>
      </c>
      <c r="P36" s="412">
        <v>1.5</v>
      </c>
    </row>
    <row r="37">
      <c r="A37" s="107" t="s">
        <v>276</v>
      </c>
      <c r="B37" s="415" t="str">
        <f>HYPERLINK("http://codeforces.com/contest/282/problem/A","CF282-D2-A")</f>
        <v>CF282-D2-A</v>
      </c>
      <c r="C37" s="185"/>
      <c r="D37" s="185"/>
      <c r="E37" s="185"/>
      <c r="F37" s="185"/>
      <c r="G37" s="185"/>
      <c r="H37" s="186"/>
      <c r="I37" s="81">
        <f t="shared" si="1"/>
        <v>0</v>
      </c>
      <c r="J37" s="120"/>
      <c r="K37" s="80"/>
      <c r="L37" s="120"/>
      <c r="M37" s="424" t="str">
        <f>HYPERLINK("https://www.youtube.com/watch?v=5TyT1RIv3wM","Video Solution - Solver to be (Java)")</f>
        <v>Video Solution - Solver to be (Java)</v>
      </c>
      <c r="N37" s="287" t="s">
        <v>1228</v>
      </c>
      <c r="O37" s="287">
        <v>1.0</v>
      </c>
      <c r="P37" s="412">
        <v>1.5</v>
      </c>
    </row>
    <row r="38">
      <c r="A38" s="107" t="s">
        <v>261</v>
      </c>
      <c r="B38" s="415" t="str">
        <f>HYPERLINK("http://codeforces.com/contest/287/problem/A","CF287-D2-A")</f>
        <v>CF287-D2-A</v>
      </c>
      <c r="C38" s="185"/>
      <c r="D38" s="185"/>
      <c r="E38" s="185"/>
      <c r="F38" s="185"/>
      <c r="G38" s="185"/>
      <c r="H38" s="186"/>
      <c r="I38" s="81">
        <f t="shared" si="1"/>
        <v>0</v>
      </c>
      <c r="J38" s="120"/>
      <c r="K38" s="80"/>
      <c r="L38" s="120"/>
      <c r="M38" s="422" t="str">
        <f>HYPERLINK("https://www.youtube.com/watch?v=n7uY7HC4XIM","Video Solution - Dr Mostafa Saad")</f>
        <v>Video Solution - Dr Mostafa Saad</v>
      </c>
      <c r="N38" s="287" t="s">
        <v>1228</v>
      </c>
      <c r="O38" s="287">
        <v>1.0</v>
      </c>
      <c r="P38" s="412">
        <v>1.5</v>
      </c>
    </row>
    <row r="39">
      <c r="A39" s="107" t="s">
        <v>260</v>
      </c>
      <c r="B39" s="415" t="str">
        <f>HYPERLINK("http://codeforces.com/contest/289/problem/A","CF289-D2-A")</f>
        <v>CF289-D2-A</v>
      </c>
      <c r="C39" s="185"/>
      <c r="D39" s="185"/>
      <c r="E39" s="185"/>
      <c r="F39" s="185"/>
      <c r="G39" s="185"/>
      <c r="H39" s="186"/>
      <c r="I39" s="81">
        <f t="shared" si="1"/>
        <v>0</v>
      </c>
      <c r="J39" s="120"/>
      <c r="K39" s="80"/>
      <c r="L39" s="120"/>
      <c r="M39" s="422" t="str">
        <f>HYPERLINK("https://www.youtube.com/watch?v=EjH3kDiEpS0","Video Solution - Dr Mostafa Saad")</f>
        <v>Video Solution - Dr Mostafa Saad</v>
      </c>
      <c r="N39" s="287" t="s">
        <v>1228</v>
      </c>
      <c r="O39" s="287">
        <v>1.0</v>
      </c>
      <c r="P39" s="412">
        <v>1.5</v>
      </c>
    </row>
    <row r="40">
      <c r="A40" s="107" t="s">
        <v>203</v>
      </c>
      <c r="B40" s="415" t="str">
        <f>HYPERLINK("http://codeforces.com/contest/294/problem/A","CF294-D2-A")</f>
        <v>CF294-D2-A</v>
      </c>
      <c r="C40" s="185"/>
      <c r="D40" s="185"/>
      <c r="E40" s="185"/>
      <c r="F40" s="185"/>
      <c r="G40" s="185"/>
      <c r="H40" s="186"/>
      <c r="I40" s="81">
        <f t="shared" si="1"/>
        <v>0</v>
      </c>
      <c r="J40" s="120"/>
      <c r="K40" s="80"/>
      <c r="L40" s="120"/>
      <c r="M40" s="420" t="str">
        <f>HYPERLINK("https://www.youtube.com/watch?v=GOuclkVCvRI","Video Solution - Dr Mostafa Saad")</f>
        <v>Video Solution - Dr Mostafa Saad</v>
      </c>
      <c r="N40" s="287" t="s">
        <v>1228</v>
      </c>
      <c r="O40" s="287">
        <v>1.0</v>
      </c>
      <c r="P40" s="412">
        <v>1.5</v>
      </c>
    </row>
    <row r="41">
      <c r="A41" s="107" t="s">
        <v>262</v>
      </c>
      <c r="B41" s="415" t="str">
        <f>HYPERLINK("http://codeforces.com/contest/296/problem/A","CF296-D2-A")</f>
        <v>CF296-D2-A</v>
      </c>
      <c r="C41" s="185"/>
      <c r="D41" s="185"/>
      <c r="E41" s="185"/>
      <c r="F41" s="185"/>
      <c r="G41" s="185"/>
      <c r="H41" s="186"/>
      <c r="I41" s="81">
        <f t="shared" si="1"/>
        <v>0</v>
      </c>
      <c r="J41" s="120"/>
      <c r="K41" s="80"/>
      <c r="L41" s="120"/>
      <c r="M41" s="422" t="str">
        <f>HYPERLINK("https://www.youtube.com/watch?v=kdgWBRPqMfo","Video Solution - Dr Mostafa Saad")</f>
        <v>Video Solution - Dr Mostafa Saad</v>
      </c>
      <c r="N41" s="287" t="s">
        <v>1228</v>
      </c>
      <c r="O41" s="287">
        <v>1.0</v>
      </c>
      <c r="P41" s="412">
        <v>1.5</v>
      </c>
    </row>
    <row r="42">
      <c r="A42" s="107" t="s">
        <v>232</v>
      </c>
      <c r="B42" s="415" t="str">
        <f>HYPERLINK("http://codeforces.com/contest/318/problem/A","CF318-D2-A")</f>
        <v>CF318-D2-A</v>
      </c>
      <c r="C42" s="185"/>
      <c r="D42" s="185"/>
      <c r="E42" s="185"/>
      <c r="F42" s="185"/>
      <c r="G42" s="185"/>
      <c r="H42" s="186"/>
      <c r="I42" s="81">
        <f t="shared" si="1"/>
        <v>0</v>
      </c>
      <c r="J42" s="126"/>
      <c r="K42" s="80"/>
      <c r="L42" s="126"/>
      <c r="M42" s="425" t="str">
        <f>HYPERLINK("https://www.youtube.com/watch?v=w7gZx99Efzs&amp;feature=youtu.be","Video Solution - Eng Muntaser Abukadeja")</f>
        <v>Video Solution - Eng Muntaser Abukadeja</v>
      </c>
      <c r="N42" s="287" t="s">
        <v>1228</v>
      </c>
      <c r="O42" s="287">
        <v>1.0</v>
      </c>
      <c r="P42" s="412">
        <v>1.5</v>
      </c>
    </row>
    <row r="43">
      <c r="A43" s="107" t="s">
        <v>209</v>
      </c>
      <c r="B43" s="415" t="str">
        <f>HYPERLINK("http://codeforces.com/contest/339/problem/A","CF339-D2-A")</f>
        <v>CF339-D2-A</v>
      </c>
      <c r="C43" s="185"/>
      <c r="D43" s="185"/>
      <c r="E43" s="185"/>
      <c r="F43" s="185"/>
      <c r="G43" s="185"/>
      <c r="H43" s="186"/>
      <c r="I43" s="81">
        <f t="shared" si="1"/>
        <v>0</v>
      </c>
      <c r="J43" s="120"/>
      <c r="K43" s="80"/>
      <c r="L43" s="120"/>
      <c r="M43" s="418" t="str">
        <f>HYPERLINK("https://www.youtube.com/watch?v=NLsyJpkFMz4","Video Solution - Solver to be (Java)")</f>
        <v>Video Solution - Solver to be (Java)</v>
      </c>
      <c r="N43" s="287" t="s">
        <v>1228</v>
      </c>
      <c r="O43" s="287">
        <v>1.0</v>
      </c>
      <c r="P43" s="412">
        <v>1.5</v>
      </c>
    </row>
    <row r="44">
      <c r="A44" s="107" t="s">
        <v>258</v>
      </c>
      <c r="B44" s="415" t="str">
        <f>HYPERLINK("http://codeforces.com/contest/382/problem/A","CF382-D2-A")</f>
        <v>CF382-D2-A</v>
      </c>
      <c r="C44" s="185"/>
      <c r="D44" s="185"/>
      <c r="E44" s="185"/>
      <c r="F44" s="185"/>
      <c r="G44" s="185"/>
      <c r="H44" s="186"/>
      <c r="I44" s="81">
        <f t="shared" si="1"/>
        <v>0</v>
      </c>
      <c r="J44" s="160"/>
      <c r="K44" s="80"/>
      <c r="L44" s="160"/>
      <c r="M44" s="101" t="str">
        <f>HYPERLINK("https://www.youtube.com/watch?v=6xkV-GeRs2o&amp;feature=youtu.be","Video Solution - Eng Samed Hajajla")</f>
        <v>Video Solution - Eng Samed Hajajla</v>
      </c>
      <c r="N44" s="287" t="s">
        <v>1228</v>
      </c>
      <c r="O44" s="287">
        <v>1.0</v>
      </c>
      <c r="P44" s="412">
        <v>1.5</v>
      </c>
    </row>
    <row r="45">
      <c r="A45" s="107" t="s">
        <v>278</v>
      </c>
      <c r="B45" s="415" t="str">
        <f>HYPERLINK("http://codeforces.com/contest/41/problem/A","CF41-D2-A")</f>
        <v>CF41-D2-A</v>
      </c>
      <c r="C45" s="185"/>
      <c r="D45" s="185"/>
      <c r="E45" s="185"/>
      <c r="F45" s="185"/>
      <c r="G45" s="185"/>
      <c r="H45" s="186"/>
      <c r="I45" s="81">
        <f t="shared" si="1"/>
        <v>0</v>
      </c>
      <c r="J45" s="120"/>
      <c r="K45" s="80"/>
      <c r="L45" s="120"/>
      <c r="M45" s="418" t="str">
        <f>HYPERLINK("https://www.youtube.com/watch?v=2rXyyB_2zX8","Video Solution - Solver to be (Java)")</f>
        <v>Video Solution - Solver to be (Java)</v>
      </c>
      <c r="N45" s="287" t="s">
        <v>1228</v>
      </c>
      <c r="O45" s="287">
        <v>1.0</v>
      </c>
      <c r="P45" s="412">
        <v>1.5</v>
      </c>
    </row>
    <row r="46">
      <c r="A46" s="107" t="s">
        <v>236</v>
      </c>
      <c r="B46" s="415" t="str">
        <f>HYPERLINK("http://codeforces.com/contest/43/problem/A","CF43-D2-A")</f>
        <v>CF43-D2-A</v>
      </c>
      <c r="C46" s="185"/>
      <c r="D46" s="185"/>
      <c r="E46" s="185"/>
      <c r="F46" s="185"/>
      <c r="G46" s="185"/>
      <c r="H46" s="186"/>
      <c r="I46" s="81">
        <f t="shared" si="1"/>
        <v>0</v>
      </c>
      <c r="J46" s="120"/>
      <c r="K46" s="80"/>
      <c r="L46" s="120"/>
      <c r="M46" s="418" t="str">
        <f>HYPERLINK("https://www.youtube.com/watch?v=fUOco0Vz584&amp;feature=youtu.be","Video Solution - Eng Belal Abdulnasser (Python)")</f>
        <v>Video Solution - Eng Belal Abdulnasser (Python)</v>
      </c>
      <c r="N46" s="287" t="s">
        <v>1228</v>
      </c>
      <c r="O46" s="287">
        <v>1.0</v>
      </c>
      <c r="P46" s="412">
        <v>1.5</v>
      </c>
    </row>
    <row r="47">
      <c r="A47" s="107" t="s">
        <v>206</v>
      </c>
      <c r="B47" s="415" t="str">
        <f>HYPERLINK("http://codeforces.com/contest/443/problem/A","CF443-D2-A")</f>
        <v>CF443-D2-A</v>
      </c>
      <c r="C47" s="185"/>
      <c r="D47" s="185"/>
      <c r="E47" s="185"/>
      <c r="F47" s="185"/>
      <c r="G47" s="185"/>
      <c r="H47" s="186"/>
      <c r="I47" s="81">
        <f t="shared" si="1"/>
        <v>0</v>
      </c>
      <c r="J47" s="120"/>
      <c r="K47" s="80"/>
      <c r="L47" s="120"/>
      <c r="M47" s="237" t="str">
        <f>HYPERLINK("https://www.youtube.com/watch?v=YXuljSnZaTY","Video Solution - Solver to be (Java)")</f>
        <v>Video Solution - Solver to be (Java)</v>
      </c>
      <c r="N47" s="287" t="s">
        <v>1228</v>
      </c>
      <c r="O47" s="287">
        <v>1.0</v>
      </c>
      <c r="P47" s="412">
        <v>1.5</v>
      </c>
    </row>
    <row r="48">
      <c r="A48" s="107" t="s">
        <v>280</v>
      </c>
      <c r="B48" s="415" t="str">
        <f>HYPERLINK("http://codeforces.com/contest/456/problem/A","CF456-D2-A")</f>
        <v>CF456-D2-A</v>
      </c>
      <c r="C48" s="185"/>
      <c r="D48" s="185"/>
      <c r="E48" s="185"/>
      <c r="F48" s="185"/>
      <c r="G48" s="185"/>
      <c r="H48" s="186"/>
      <c r="I48" s="81">
        <f t="shared" si="1"/>
        <v>0</v>
      </c>
      <c r="J48" s="160"/>
      <c r="K48" s="80"/>
      <c r="L48" s="160"/>
      <c r="M48" s="418" t="str">
        <f>HYPERLINK("https://www.youtube.com/watch?v=_Ab4PUC2vMk","Video Solution - Solver to be (Java)")</f>
        <v>Video Solution - Solver to be (Java)</v>
      </c>
      <c r="N48" s="287" t="s">
        <v>1228</v>
      </c>
      <c r="O48" s="287">
        <v>1.0</v>
      </c>
      <c r="P48" s="412">
        <v>1.5</v>
      </c>
    </row>
    <row r="49">
      <c r="A49" s="107" t="s">
        <v>233</v>
      </c>
      <c r="B49" s="415" t="str">
        <f>HYPERLINK("http://codeforces.com/contest/469/problem/A","CF469-D2-A")</f>
        <v>CF469-D2-A</v>
      </c>
      <c r="C49" s="185"/>
      <c r="D49" s="185"/>
      <c r="E49" s="185"/>
      <c r="F49" s="185"/>
      <c r="G49" s="185"/>
      <c r="H49" s="186"/>
      <c r="I49" s="81">
        <f t="shared" si="1"/>
        <v>0</v>
      </c>
      <c r="J49" s="120"/>
      <c r="K49" s="80"/>
      <c r="L49" s="120"/>
      <c r="M49" s="424" t="str">
        <f>HYPERLINK("https://www.youtube.com/watch?v=MVHuUdj_CWo","Video Solution - Solver to be (Java)")</f>
        <v>Video Solution - Solver to be (Java)</v>
      </c>
      <c r="N49" s="287" t="s">
        <v>1228</v>
      </c>
      <c r="O49" s="287">
        <v>1.0</v>
      </c>
      <c r="P49" s="412">
        <v>1.5</v>
      </c>
    </row>
    <row r="50">
      <c r="A50" s="107" t="s">
        <v>225</v>
      </c>
      <c r="B50" s="415" t="str">
        <f>HYPERLINK("http://codeforces.com/contest/474/problem/A","CF474-D2-A")</f>
        <v>CF474-D2-A</v>
      </c>
      <c r="C50" s="185"/>
      <c r="D50" s="185"/>
      <c r="E50" s="185"/>
      <c r="F50" s="185"/>
      <c r="G50" s="185"/>
      <c r="H50" s="186"/>
      <c r="I50" s="81">
        <f t="shared" si="1"/>
        <v>0</v>
      </c>
      <c r="J50" s="120"/>
      <c r="K50" s="125"/>
      <c r="L50" s="120"/>
      <c r="M50" s="424" t="str">
        <f>HYPERLINK("https://www.youtube.com/watch?v=oFIiCpVI3Ck","Video Solution - Solver to be (Java)")</f>
        <v>Video Solution - Solver to be (Java)</v>
      </c>
      <c r="N50" s="287" t="s">
        <v>1228</v>
      </c>
      <c r="O50" s="287">
        <v>1.0</v>
      </c>
      <c r="P50" s="412">
        <v>1.5</v>
      </c>
    </row>
    <row r="51">
      <c r="A51" s="107" t="s">
        <v>245</v>
      </c>
      <c r="B51" s="415" t="str">
        <f>HYPERLINK("http://codeforces.com/contest/483/problem/A","CF483-D2-A")</f>
        <v>CF483-D2-A</v>
      </c>
      <c r="C51" s="185"/>
      <c r="D51" s="185"/>
      <c r="E51" s="185"/>
      <c r="F51" s="185"/>
      <c r="G51" s="185"/>
      <c r="H51" s="186"/>
      <c r="I51" s="81">
        <f t="shared" si="1"/>
        <v>0</v>
      </c>
      <c r="J51" s="160"/>
      <c r="K51" s="80"/>
      <c r="L51" s="160"/>
      <c r="M51" s="418" t="str">
        <f>HYPERLINK("https://www.youtube.com/watch?v=hWzHWVd9jI8","Video Solution - Solver to be (Java)")</f>
        <v>Video Solution - Solver to be (Java)</v>
      </c>
      <c r="N51" s="287" t="s">
        <v>1228</v>
      </c>
      <c r="O51" s="287">
        <v>1.0</v>
      </c>
      <c r="P51" s="412">
        <v>1.5</v>
      </c>
    </row>
    <row r="52">
      <c r="A52" s="107" t="s">
        <v>241</v>
      </c>
      <c r="B52" s="415" t="str">
        <f>HYPERLINK("http://codeforces.com/contest/486/problem/A","CF486-D2-A")</f>
        <v>CF486-D2-A</v>
      </c>
      <c r="C52" s="185"/>
      <c r="D52" s="185"/>
      <c r="E52" s="185"/>
      <c r="F52" s="185"/>
      <c r="G52" s="185"/>
      <c r="H52" s="186"/>
      <c r="I52" s="81">
        <f t="shared" si="1"/>
        <v>0</v>
      </c>
      <c r="J52" s="120"/>
      <c r="K52" s="80"/>
      <c r="L52" s="120"/>
      <c r="M52" s="418" t="str">
        <f>HYPERLINK("https://www.youtube.com/watch?v=IByiomshI2o","Video Solution - Solver to be (Java)")</f>
        <v>Video Solution - Solver to be (Java)</v>
      </c>
      <c r="N52" s="287" t="s">
        <v>1228</v>
      </c>
      <c r="O52" s="287">
        <v>1.0</v>
      </c>
      <c r="P52" s="412">
        <v>1.5</v>
      </c>
    </row>
    <row r="53">
      <c r="A53" s="107" t="s">
        <v>210</v>
      </c>
      <c r="B53" s="415" t="str">
        <f>HYPERLINK("http://codeforces.com/contest/490/problem/A","CF490-D2-A")</f>
        <v>CF490-D2-A</v>
      </c>
      <c r="C53" s="185"/>
      <c r="D53" s="185"/>
      <c r="E53" s="185"/>
      <c r="F53" s="185"/>
      <c r="G53" s="185"/>
      <c r="H53" s="186"/>
      <c r="I53" s="81">
        <f t="shared" si="1"/>
        <v>0</v>
      </c>
      <c r="J53" s="120"/>
      <c r="K53" s="80"/>
      <c r="L53" s="120"/>
      <c r="M53" s="424" t="str">
        <f>HYPERLINK("https://www.youtube.com/watch?v=2jJA1PCOrgg","Video Solution - Eng Muntaser Abukadeja")</f>
        <v>Video Solution - Eng Muntaser Abukadeja</v>
      </c>
      <c r="N53" s="287" t="s">
        <v>1228</v>
      </c>
      <c r="O53" s="287">
        <v>1.0</v>
      </c>
      <c r="P53" s="412">
        <v>1.5</v>
      </c>
    </row>
    <row r="54">
      <c r="A54" s="107" t="s">
        <v>257</v>
      </c>
      <c r="B54" s="415" t="str">
        <f>HYPERLINK("http://codeforces.com/contest/514/problem/A","CF514-D2-A")</f>
        <v>CF514-D2-A</v>
      </c>
      <c r="C54" s="185"/>
      <c r="D54" s="185"/>
      <c r="E54" s="185"/>
      <c r="F54" s="185"/>
      <c r="G54" s="185"/>
      <c r="H54" s="186"/>
      <c r="I54" s="81">
        <f t="shared" si="1"/>
        <v>0</v>
      </c>
      <c r="J54" s="160"/>
      <c r="K54" s="80"/>
      <c r="L54" s="160"/>
      <c r="M54" s="421" t="str">
        <f>HYPERLINK("https://www.youtube.com/watch?v=wU51frCexTY&amp;feature=youtu.be","Video Solution - Eng Muntaser Abukadeja")</f>
        <v>Video Solution - Eng Muntaser Abukadeja</v>
      </c>
      <c r="N54" s="287" t="s">
        <v>1228</v>
      </c>
      <c r="O54" s="287">
        <v>1.0</v>
      </c>
      <c r="P54" s="412">
        <v>1.5</v>
      </c>
    </row>
    <row r="55">
      <c r="A55" s="107" t="s">
        <v>223</v>
      </c>
      <c r="B55" s="415" t="str">
        <f>HYPERLINK("http://codeforces.com/contest/520/problem/A","CF520-D2-A")</f>
        <v>CF520-D2-A</v>
      </c>
      <c r="C55" s="185"/>
      <c r="D55" s="185"/>
      <c r="E55" s="185"/>
      <c r="F55" s="185"/>
      <c r="G55" s="185"/>
      <c r="H55" s="186"/>
      <c r="I55" s="81">
        <f t="shared" si="1"/>
        <v>0</v>
      </c>
      <c r="J55" s="126"/>
      <c r="K55" s="80"/>
      <c r="L55" s="126"/>
      <c r="M55" s="424" t="str">
        <f>HYPERLINK("https://www.youtube.com/watch?v=TrHCzh7bPRo","Video Solution - Solver to be (Java)")</f>
        <v>Video Solution - Solver to be (Java)</v>
      </c>
      <c r="N55" s="287" t="s">
        <v>1228</v>
      </c>
      <c r="O55" s="287">
        <v>1.0</v>
      </c>
      <c r="P55" s="412">
        <v>1.5</v>
      </c>
    </row>
    <row r="56">
      <c r="A56" s="107" t="s">
        <v>277</v>
      </c>
      <c r="B56" s="415" t="str">
        <f>HYPERLINK("http://codeforces.com/contest/556/problem/A","CF556-D2-A")</f>
        <v>CF556-D2-A</v>
      </c>
      <c r="C56" s="185"/>
      <c r="D56" s="185"/>
      <c r="E56" s="185"/>
      <c r="F56" s="185"/>
      <c r="G56" s="185"/>
      <c r="H56" s="186"/>
      <c r="I56" s="81">
        <f t="shared" si="1"/>
        <v>0</v>
      </c>
      <c r="J56" s="120"/>
      <c r="K56" s="80"/>
      <c r="L56" s="120"/>
      <c r="M56" s="418" t="str">
        <f>HYPERLINK("https://www.youtube.com/watch?v=rud5ZbfjBxg","Video Solution - Solver to be (Java)")</f>
        <v>Video Solution - Solver to be (Java)</v>
      </c>
      <c r="N56" s="287" t="s">
        <v>1228</v>
      </c>
      <c r="O56" s="287">
        <v>1.0</v>
      </c>
      <c r="P56" s="412">
        <v>1.5</v>
      </c>
    </row>
    <row r="57">
      <c r="A57" s="107" t="s">
        <v>219</v>
      </c>
      <c r="B57" s="415" t="str">
        <f>HYPERLINK("http://codeforces.com/contest/567/problem/A","CF567-D2-A")</f>
        <v>CF567-D2-A</v>
      </c>
      <c r="C57" s="185"/>
      <c r="D57" s="185"/>
      <c r="E57" s="185"/>
      <c r="F57" s="185"/>
      <c r="G57" s="185"/>
      <c r="H57" s="186"/>
      <c r="I57" s="81">
        <f t="shared" si="1"/>
        <v>0</v>
      </c>
      <c r="J57" s="120"/>
      <c r="K57" s="80"/>
      <c r="L57" s="120"/>
      <c r="M57" s="423" t="str">
        <f>HYPERLINK("https://www.youtube.com/watch?v=gc4BEAw0pbs&amp;feature=youtu.be","Video Solution - Eng Ahmed Rafaat (Python)")</f>
        <v>Video Solution - Eng Ahmed Rafaat (Python)</v>
      </c>
      <c r="N57" s="287" t="s">
        <v>1228</v>
      </c>
      <c r="O57" s="287">
        <v>1.0</v>
      </c>
      <c r="P57" s="412">
        <v>1.5</v>
      </c>
    </row>
    <row r="58">
      <c r="A58" s="107" t="s">
        <v>264</v>
      </c>
      <c r="B58" s="415" t="str">
        <f>HYPERLINK("http://codeforces.com/contest/579/problem/A","CF579-D2-A")</f>
        <v>CF579-D2-A</v>
      </c>
      <c r="C58" s="185"/>
      <c r="D58" s="185"/>
      <c r="E58" s="185"/>
      <c r="F58" s="185"/>
      <c r="G58" s="185"/>
      <c r="H58" s="186"/>
      <c r="I58" s="81">
        <f t="shared" si="1"/>
        <v>0</v>
      </c>
      <c r="J58" s="120"/>
      <c r="K58" s="80"/>
      <c r="L58" s="120"/>
      <c r="M58" s="423" t="str">
        <f>HYPERLINK("https://www.youtube.com/watch?v=UWMDrh1shXg","Video Solution - Eng Ahmed Rafaat (Python)")</f>
        <v>Video Solution - Eng Ahmed Rafaat (Python)</v>
      </c>
      <c r="N58" s="287" t="s">
        <v>1228</v>
      </c>
      <c r="O58" s="287">
        <v>1.0</v>
      </c>
      <c r="P58" s="412">
        <v>1.5</v>
      </c>
    </row>
    <row r="59">
      <c r="A59" s="107" t="s">
        <v>235</v>
      </c>
      <c r="B59" s="415" t="str">
        <f>HYPERLINK("http://codeforces.com/contest/584/problem/A","CF584-D2-A")</f>
        <v>CF584-D2-A</v>
      </c>
      <c r="C59" s="185"/>
      <c r="D59" s="185"/>
      <c r="E59" s="185"/>
      <c r="F59" s="185"/>
      <c r="G59" s="185"/>
      <c r="H59" s="186"/>
      <c r="I59" s="81">
        <f t="shared" si="1"/>
        <v>0</v>
      </c>
      <c r="J59" s="120"/>
      <c r="K59" s="80"/>
      <c r="L59" s="120"/>
      <c r="M59" s="418" t="str">
        <f>HYPERLINK("https://www.youtube.com/watch?v=U3bX6kIGDG8","Video Solution - Solver to be (Java)")</f>
        <v>Video Solution - Solver to be (Java)</v>
      </c>
      <c r="N59" s="287" t="s">
        <v>1228</v>
      </c>
      <c r="O59" s="287">
        <v>1.0</v>
      </c>
      <c r="P59" s="412">
        <v>1.5</v>
      </c>
    </row>
    <row r="60">
      <c r="A60" s="107" t="s">
        <v>254</v>
      </c>
      <c r="B60" s="415" t="str">
        <f>HYPERLINK("http://codeforces.com/contest/682/problem/A","CF682-D2-A")</f>
        <v>CF682-D2-A</v>
      </c>
      <c r="C60" s="185"/>
      <c r="D60" s="185"/>
      <c r="E60" s="185"/>
      <c r="F60" s="185"/>
      <c r="G60" s="185"/>
      <c r="H60" s="186"/>
      <c r="I60" s="81">
        <f t="shared" si="1"/>
        <v>0</v>
      </c>
      <c r="J60" s="160"/>
      <c r="K60" s="80"/>
      <c r="L60" s="160"/>
      <c r="M60" s="421" t="str">
        <f>HYPERLINK("https://www.youtube.com/watch?v=05ZIXw2G4Pw&amp;feature=youtu.be","Video Solution - Eng John Gamal")</f>
        <v>Video Solution - Eng John Gamal</v>
      </c>
      <c r="N60" s="287" t="s">
        <v>1228</v>
      </c>
      <c r="O60" s="287">
        <v>1.0</v>
      </c>
      <c r="P60" s="412">
        <v>1.5</v>
      </c>
    </row>
    <row r="61">
      <c r="A61" s="107" t="s">
        <v>208</v>
      </c>
      <c r="B61" s="415" t="str">
        <f>HYPERLINK("http://codeforces.com/contest/686/problem/A","CF686-D2-A")</f>
        <v>CF686-D2-A</v>
      </c>
      <c r="C61" s="185"/>
      <c r="D61" s="185"/>
      <c r="E61" s="185"/>
      <c r="F61" s="185"/>
      <c r="G61" s="185"/>
      <c r="H61" s="186"/>
      <c r="I61" s="81">
        <f t="shared" si="1"/>
        <v>0</v>
      </c>
      <c r="J61" s="120"/>
      <c r="K61" s="80"/>
      <c r="L61" s="120"/>
      <c r="M61" s="418" t="str">
        <f>HYPERLINK("https://www.youtube.com/watch?v=Alipj6tJKKI","Video Solution - Solver to be (Java)")</f>
        <v>Video Solution - Solver to be (Java)</v>
      </c>
      <c r="N61" s="287" t="s">
        <v>1228</v>
      </c>
      <c r="O61" s="287">
        <v>1.0</v>
      </c>
      <c r="P61" s="412">
        <v>1.5</v>
      </c>
    </row>
    <row r="62">
      <c r="A62" s="107" t="s">
        <v>275</v>
      </c>
      <c r="B62" s="415" t="str">
        <f>HYPERLINK("http://codeforces.com/contest/69/problem/A","CF69-D2-A")</f>
        <v>CF69-D2-A</v>
      </c>
      <c r="C62" s="185"/>
      <c r="D62" s="185"/>
      <c r="E62" s="185"/>
      <c r="F62" s="185"/>
      <c r="G62" s="185"/>
      <c r="H62" s="186"/>
      <c r="I62" s="81">
        <f t="shared" si="1"/>
        <v>0</v>
      </c>
      <c r="J62" s="126"/>
      <c r="K62" s="80"/>
      <c r="L62" s="126"/>
      <c r="M62" s="418" t="str">
        <f>HYPERLINK("https://www.youtube.com/watch?v=L8pMTIq7DFM","Video Solution - Solver to be (Java)")</f>
        <v>Video Solution - Solver to be (Java)</v>
      </c>
      <c r="N62" s="287" t="s">
        <v>1228</v>
      </c>
      <c r="O62" s="287">
        <v>1.0</v>
      </c>
      <c r="P62" s="412">
        <v>1.5</v>
      </c>
    </row>
    <row r="63">
      <c r="A63" s="107" t="s">
        <v>259</v>
      </c>
      <c r="B63" s="415" t="str">
        <f>HYPERLINK("http://codeforces.com/contest/699/problem/A","CF699-D2-A")</f>
        <v>CF699-D2-A</v>
      </c>
      <c r="C63" s="185"/>
      <c r="D63" s="185"/>
      <c r="E63" s="185"/>
      <c r="F63" s="185"/>
      <c r="G63" s="185"/>
      <c r="H63" s="186"/>
      <c r="I63" s="81">
        <f t="shared" si="1"/>
        <v>0</v>
      </c>
      <c r="J63" s="160"/>
      <c r="K63" s="80"/>
      <c r="L63" s="160"/>
      <c r="M63" s="421" t="str">
        <f>HYPERLINK("https://www.youtube.com/watch?v=2xSkHmA5z8s","Video Solution - Eng Samed Hajajla")</f>
        <v>Video Solution - Eng Samed Hajajla</v>
      </c>
      <c r="N63" s="287" t="s">
        <v>1228</v>
      </c>
      <c r="O63" s="287">
        <v>1.0</v>
      </c>
      <c r="P63" s="412">
        <v>1.5</v>
      </c>
    </row>
    <row r="64">
      <c r="A64" s="107" t="s">
        <v>237</v>
      </c>
      <c r="B64" s="415" t="str">
        <f>HYPERLINK("http://codeforces.com/contest/707/problem/A","CF707-D2-A")</f>
        <v>CF707-D2-A</v>
      </c>
      <c r="C64" s="185"/>
      <c r="D64" s="185"/>
      <c r="E64" s="185"/>
      <c r="F64" s="185"/>
      <c r="G64" s="185"/>
      <c r="H64" s="186"/>
      <c r="I64" s="81">
        <f t="shared" si="1"/>
        <v>0</v>
      </c>
      <c r="J64" s="120"/>
      <c r="K64" s="80"/>
      <c r="L64" s="120"/>
      <c r="M64" s="418" t="str">
        <f>HYPERLINK("https://www.youtube.com/watch?v=cCraOn4wjAs","Video Solution - Solver to be (Java)")</f>
        <v>Video Solution - Solver to be (Java)</v>
      </c>
      <c r="N64" s="287" t="s">
        <v>1228</v>
      </c>
      <c r="O64" s="287">
        <v>1.0</v>
      </c>
      <c r="P64" s="412">
        <v>1.5</v>
      </c>
    </row>
    <row r="65">
      <c r="A65" s="107" t="s">
        <v>207</v>
      </c>
      <c r="B65" s="415" t="str">
        <f>HYPERLINK("http://codeforces.com/contest/71/problem/A","CF71-D2-A")</f>
        <v>CF71-D2-A</v>
      </c>
      <c r="C65" s="185"/>
      <c r="D65" s="185"/>
      <c r="E65" s="185"/>
      <c r="F65" s="185"/>
      <c r="G65" s="185"/>
      <c r="H65" s="186"/>
      <c r="I65" s="81">
        <f t="shared" si="1"/>
        <v>0</v>
      </c>
      <c r="J65" s="120"/>
      <c r="K65" s="80"/>
      <c r="L65" s="120"/>
      <c r="M65" s="418" t="str">
        <f>HYPERLINK("https://www.youtube.com/watch?v=yuebR81LyXE","Video Solution - Solver to be (Java)")</f>
        <v>Video Solution - Solver to be (Java)</v>
      </c>
      <c r="N65" s="287" t="s">
        <v>1228</v>
      </c>
      <c r="O65" s="287">
        <v>1.0</v>
      </c>
      <c r="P65" s="412">
        <v>1.5</v>
      </c>
    </row>
    <row r="66">
      <c r="A66" s="107" t="s">
        <v>240</v>
      </c>
      <c r="B66" s="415" t="str">
        <f>HYPERLINK("http://codeforces.com/contest/742/problem/A","CF742-D2-A")</f>
        <v>CF742-D2-A</v>
      </c>
      <c r="C66" s="185"/>
      <c r="D66" s="185"/>
      <c r="E66" s="185"/>
      <c r="F66" s="185"/>
      <c r="G66" s="185"/>
      <c r="H66" s="186"/>
      <c r="I66" s="81">
        <f t="shared" si="1"/>
        <v>0</v>
      </c>
      <c r="J66" s="120"/>
      <c r="K66" s="80"/>
      <c r="L66" s="120"/>
      <c r="M66" s="418" t="str">
        <f>HYPERLINK("https://www.youtube.com/watch?v=kdJGLjKy54o","Video Solution - Solver to be (Java)")</f>
        <v>Video Solution - Solver to be (Java)</v>
      </c>
      <c r="N66" s="287" t="s">
        <v>1228</v>
      </c>
      <c r="O66" s="287">
        <v>1.0</v>
      </c>
      <c r="P66" s="412">
        <v>1.5</v>
      </c>
    </row>
    <row r="67">
      <c r="A67" s="107" t="s">
        <v>220</v>
      </c>
      <c r="B67" s="415" t="str">
        <f>HYPERLINK("http://codeforces.com/contest/766/problem/A","CF766-D2-A")</f>
        <v>CF766-D2-A</v>
      </c>
      <c r="C67" s="185"/>
      <c r="D67" s="185"/>
      <c r="E67" s="185"/>
      <c r="F67" s="185"/>
      <c r="G67" s="185"/>
      <c r="H67" s="186"/>
      <c r="I67" s="81">
        <f t="shared" si="1"/>
        <v>0</v>
      </c>
      <c r="J67" s="120"/>
      <c r="K67" s="80"/>
      <c r="L67" s="120"/>
      <c r="M67" s="418" t="str">
        <f>HYPERLINK("https://www.youtube.com/watch?v=nq66DIFAyhs","Video Solution - Solver to be (Java)")</f>
        <v>Video Solution - Solver to be (Java)</v>
      </c>
      <c r="N67" s="287" t="s">
        <v>1228</v>
      </c>
      <c r="O67" s="287">
        <v>1.0</v>
      </c>
      <c r="P67" s="412">
        <v>1.5</v>
      </c>
    </row>
    <row r="68">
      <c r="A68" s="107" t="s">
        <v>221</v>
      </c>
      <c r="B68" s="415" t="str">
        <f>HYPERLINK("http://codeforces.com/problemset/problem/767/A","CF767-D2-A")</f>
        <v>CF767-D2-A</v>
      </c>
      <c r="C68" s="185"/>
      <c r="D68" s="185"/>
      <c r="E68" s="185"/>
      <c r="F68" s="185"/>
      <c r="G68" s="185"/>
      <c r="H68" s="186"/>
      <c r="I68" s="81">
        <f t="shared" si="1"/>
        <v>0</v>
      </c>
      <c r="J68" s="126"/>
      <c r="K68" s="80"/>
      <c r="L68" s="126"/>
      <c r="M68" s="418" t="str">
        <f>HYPERLINK("https://www.youtube.com/watch?v=MVHuUdj_CWo","Video Solution - Solver to be (Java)")</f>
        <v>Video Solution - Solver to be (Java)</v>
      </c>
      <c r="N68" s="287" t="s">
        <v>1228</v>
      </c>
      <c r="O68" s="287">
        <v>1.0</v>
      </c>
      <c r="P68" s="412">
        <v>1.5</v>
      </c>
    </row>
    <row r="69">
      <c r="A69" s="107" t="s">
        <v>222</v>
      </c>
      <c r="B69" s="415" t="str">
        <f>HYPERLINK("http://codeforces.com/contest/768/problem/A","CF768-D2-A")</f>
        <v>CF768-D2-A</v>
      </c>
      <c r="C69" s="185"/>
      <c r="D69" s="185"/>
      <c r="E69" s="185"/>
      <c r="F69" s="185"/>
      <c r="G69" s="185"/>
      <c r="H69" s="186"/>
      <c r="I69" s="81">
        <f t="shared" si="1"/>
        <v>0</v>
      </c>
      <c r="J69" s="126"/>
      <c r="K69" s="80"/>
      <c r="L69" s="126"/>
      <c r="M69" s="418" t="str">
        <f>HYPERLINK("https://www.youtube.com/watch?v=4vBmYmqOoIk","Video Solution - Solver to be (Java)")</f>
        <v>Video Solution - Solver to be (Java)</v>
      </c>
      <c r="N69" s="287" t="s">
        <v>1228</v>
      </c>
      <c r="O69" s="287">
        <v>1.0</v>
      </c>
      <c r="P69" s="412">
        <v>1.5</v>
      </c>
    </row>
    <row r="70">
      <c r="A70" s="107" t="s">
        <v>211</v>
      </c>
      <c r="B70" s="415" t="str">
        <f>HYPERLINK("http://codeforces.com/contest/770/problem/A","CF770-D2-A")</f>
        <v>CF770-D2-A</v>
      </c>
      <c r="C70" s="185"/>
      <c r="D70" s="185"/>
      <c r="E70" s="185"/>
      <c r="F70" s="185"/>
      <c r="G70" s="185"/>
      <c r="H70" s="186"/>
      <c r="I70" s="81">
        <f t="shared" si="1"/>
        <v>0</v>
      </c>
      <c r="J70" s="120"/>
      <c r="K70" s="80"/>
      <c r="L70" s="120"/>
      <c r="M70" s="418" t="str">
        <f>HYPERLINK("https://www.youtube.com/watch?v=VDlquoqsOs","Video Solution - Solver to be (Java)")</f>
        <v>Video Solution - Solver to be (Java)</v>
      </c>
      <c r="N70" s="287" t="s">
        <v>1228</v>
      </c>
      <c r="O70" s="287">
        <v>1.0</v>
      </c>
      <c r="P70" s="412">
        <v>1.5</v>
      </c>
    </row>
    <row r="71">
      <c r="A71" s="107" t="s">
        <v>205</v>
      </c>
      <c r="B71" s="415" t="str">
        <f>HYPERLINK("http://codeforces.com/contest/799/problem/A","CF799-D2-A")</f>
        <v>CF799-D2-A</v>
      </c>
      <c r="C71" s="185"/>
      <c r="D71" s="185"/>
      <c r="E71" s="185"/>
      <c r="F71" s="185"/>
      <c r="G71" s="185"/>
      <c r="H71" s="186"/>
      <c r="I71" s="81">
        <f t="shared" si="1"/>
        <v>0</v>
      </c>
      <c r="J71" s="120"/>
      <c r="K71" s="80"/>
      <c r="L71" s="120"/>
      <c r="M71" s="419" t="str">
        <f>HYPERLINK("https://www.youtube.com/watch?v=uyEL9f8pxlM","Video Solution - Solver to be (Java)")</f>
        <v>Video Solution - Solver to be (Java)</v>
      </c>
      <c r="N71" s="287" t="s">
        <v>1228</v>
      </c>
      <c r="O71" s="287">
        <v>1.0</v>
      </c>
      <c r="P71" s="412">
        <v>1.5</v>
      </c>
    </row>
    <row r="72">
      <c r="A72" s="107" t="s">
        <v>244</v>
      </c>
      <c r="B72" s="415" t="str">
        <f>HYPERLINK("http://codeforces.com/contest/80/problem/A","CF80-D2-A")</f>
        <v>CF80-D2-A</v>
      </c>
      <c r="C72" s="185"/>
      <c r="D72" s="185"/>
      <c r="E72" s="185"/>
      <c r="F72" s="185"/>
      <c r="G72" s="185"/>
      <c r="H72" s="186"/>
      <c r="I72" s="81">
        <f t="shared" si="1"/>
        <v>0</v>
      </c>
      <c r="J72" s="120"/>
      <c r="K72" s="80"/>
      <c r="L72" s="120"/>
      <c r="M72" s="418" t="str">
        <f>HYPERLINK("https://www.youtube.com/watch?v=eBT7tgXcd2I","Video Solution - Solver to be (Java)")</f>
        <v>Video Solution - Solver to be (Java)</v>
      </c>
      <c r="N72" s="287" t="s">
        <v>1228</v>
      </c>
      <c r="O72" s="287">
        <v>1.0</v>
      </c>
      <c r="P72" s="412">
        <v>1.5</v>
      </c>
    </row>
    <row r="73">
      <c r="A73" s="107" t="s">
        <v>234</v>
      </c>
      <c r="B73" s="415" t="str">
        <f>HYPERLINK("http://codeforces.com/contest/807/problem/A","CF807-D2-A")</f>
        <v>CF807-D2-A</v>
      </c>
      <c r="C73" s="185"/>
      <c r="D73" s="185"/>
      <c r="E73" s="185"/>
      <c r="F73" s="185"/>
      <c r="G73" s="185"/>
      <c r="H73" s="186"/>
      <c r="I73" s="81">
        <f t="shared" si="1"/>
        <v>0</v>
      </c>
      <c r="J73" s="120"/>
      <c r="K73" s="80"/>
      <c r="L73" s="120"/>
      <c r="M73" s="418" t="str">
        <f>HYPERLINK("https://www.youtube.com/watch?v=PU-Lg0gs6kY","Video Solution - Solver to be (Java)")</f>
        <v>Video Solution - Solver to be (Java)</v>
      </c>
      <c r="N73" s="287" t="s">
        <v>1228</v>
      </c>
      <c r="O73" s="287">
        <v>1.0</v>
      </c>
      <c r="P73" s="412">
        <v>1.5</v>
      </c>
    </row>
    <row r="74">
      <c r="A74" s="107" t="s">
        <v>202</v>
      </c>
      <c r="B74" s="415" t="str">
        <f>HYPERLINK("http://codeforces.com/contest/9/problem/A","CF9-D2-A")</f>
        <v>CF9-D2-A</v>
      </c>
      <c r="C74" s="185"/>
      <c r="D74" s="185"/>
      <c r="E74" s="185"/>
      <c r="F74" s="185"/>
      <c r="G74" s="185"/>
      <c r="H74" s="186"/>
      <c r="I74" s="81">
        <f t="shared" si="1"/>
        <v>0</v>
      </c>
      <c r="J74" s="120"/>
      <c r="K74" s="80"/>
      <c r="L74" s="120"/>
      <c r="M74" s="420" t="str">
        <f>HYPERLINK("https://www.youtube.com/watch?v=5T1yiz9-jZo","Video Solution - Eng Muntaser Abukadeja")</f>
        <v>Video Solution - Eng Muntaser Abukadeja</v>
      </c>
      <c r="N74" s="287" t="s">
        <v>1228</v>
      </c>
      <c r="O74" s="287">
        <v>1.0</v>
      </c>
      <c r="P74" s="412">
        <v>1.5</v>
      </c>
    </row>
    <row r="75">
      <c r="A75" s="107" t="s">
        <v>217</v>
      </c>
      <c r="B75" s="415" t="str">
        <f>HYPERLINK("https://uva.onlinejudge.org/index.php?option=onlinejudge&amp;page=show_problem&amp;problem=3300","UVA 12148")</f>
        <v>UVA 12148</v>
      </c>
      <c r="C75" s="185"/>
      <c r="D75" s="185"/>
      <c r="E75" s="185"/>
      <c r="F75" s="185"/>
      <c r="G75" s="185"/>
      <c r="H75" s="186"/>
      <c r="I75" s="81">
        <f t="shared" si="1"/>
        <v>0</v>
      </c>
      <c r="J75" s="126"/>
      <c r="K75" s="80"/>
      <c r="L75" s="126"/>
      <c r="M75" s="426" t="str">
        <f>HYPERLINK("https://github.com/juanplopes/icpc/blob/master/uva/12148.cpp","Learn Calender Leap Year")</f>
        <v>Learn Calender Leap Year</v>
      </c>
      <c r="N75" s="412" t="s">
        <v>1230</v>
      </c>
      <c r="O75" s="412">
        <v>1.0</v>
      </c>
      <c r="P75" s="412">
        <v>2.0</v>
      </c>
      <c r="Q75" s="21" t="s">
        <v>1231</v>
      </c>
    </row>
    <row r="76">
      <c r="A76" s="107" t="s">
        <v>472</v>
      </c>
      <c r="B76" s="415" t="str">
        <f>HYPERLINK("http://acm.timus.ru/problem.aspx?space=1&amp;num=1100","TIMUS 1100")</f>
        <v>TIMUS 1100</v>
      </c>
      <c r="C76" s="185"/>
      <c r="D76" s="185"/>
      <c r="E76" s="185"/>
      <c r="F76" s="185"/>
      <c r="G76" s="185"/>
      <c r="H76" s="186"/>
      <c r="I76" s="81">
        <f t="shared" si="1"/>
        <v>0</v>
      </c>
      <c r="J76" s="86"/>
      <c r="K76" s="80"/>
      <c r="L76" s="86"/>
      <c r="M76" s="421" t="str">
        <f>HYPERLINK("https://github.com/marioyc/Online-Judge-Solutions/blob/master/Timus%20Online%20Judge/1100%20-%20Final%20Standings.cpp","Stable sort exercise")</f>
        <v>Stable sort exercise</v>
      </c>
      <c r="N76" s="412" t="s">
        <v>1232</v>
      </c>
      <c r="O76" s="412">
        <v>1.0</v>
      </c>
      <c r="P76" s="412">
        <v>2.0</v>
      </c>
      <c r="Q76" s="21" t="s">
        <v>1231</v>
      </c>
    </row>
    <row r="77">
      <c r="A77" s="107" t="s">
        <v>411</v>
      </c>
      <c r="B77" s="415" t="str">
        <f>HYPERLINK("http://codeforces.com/contest/6/problem/B","CF6-D2-B")</f>
        <v>CF6-D2-B</v>
      </c>
      <c r="C77" s="185"/>
      <c r="D77" s="185"/>
      <c r="E77" s="185"/>
      <c r="F77" s="185"/>
      <c r="G77" s="185"/>
      <c r="H77" s="186"/>
      <c r="I77" s="81">
        <f t="shared" si="1"/>
        <v>0</v>
      </c>
      <c r="J77" s="86"/>
      <c r="K77" s="80"/>
      <c r="L77" s="185"/>
      <c r="M77" s="418" t="str">
        <f>HYPERLINK("https://www.youtube.com/watch?v=FTM7HQahAc8&amp;feature=youtu.be","Video Solution - Eng Muntaser Abukadeja")</f>
        <v>Video Solution - Eng Muntaser Abukadeja</v>
      </c>
      <c r="N77" s="412" t="s">
        <v>1233</v>
      </c>
      <c r="O77" s="412">
        <v>1.0</v>
      </c>
      <c r="P77" s="287">
        <v>2.0</v>
      </c>
    </row>
    <row r="78">
      <c r="A78" s="107" t="s">
        <v>395</v>
      </c>
      <c r="B78" s="415" t="str">
        <f>HYPERLINK("http://codeforces.com/contest/102/problem/B","CF102-D2-B")</f>
        <v>CF102-D2-B</v>
      </c>
      <c r="C78" s="185"/>
      <c r="D78" s="185"/>
      <c r="E78" s="185"/>
      <c r="F78" s="185"/>
      <c r="G78" s="185"/>
      <c r="H78" s="186"/>
      <c r="I78" s="81">
        <f t="shared" si="1"/>
        <v>0</v>
      </c>
      <c r="J78" s="86"/>
      <c r="K78" s="80"/>
      <c r="L78" s="185"/>
      <c r="M78" s="418" t="str">
        <f>HYPERLINK("https://www.youtube.com/watch?v=_qdIm9Yj9_U","Video Solution - Eng Muntaser Abukadeja")</f>
        <v>Video Solution - Eng Muntaser Abukadeja</v>
      </c>
      <c r="N78" s="287" t="s">
        <v>1228</v>
      </c>
      <c r="O78" s="287">
        <v>1.0</v>
      </c>
      <c r="P78" s="412">
        <v>2.0</v>
      </c>
    </row>
    <row r="79">
      <c r="A79" s="107" t="s">
        <v>447</v>
      </c>
      <c r="B79" s="415" t="str">
        <f>HYPERLINK("http://codeforces.com/contest/144/problem/B","CF144-D2-B")</f>
        <v>CF144-D2-B</v>
      </c>
      <c r="C79" s="185"/>
      <c r="D79" s="185"/>
      <c r="E79" s="185"/>
      <c r="F79" s="185"/>
      <c r="G79" s="185"/>
      <c r="H79" s="186"/>
      <c r="I79" s="81">
        <f t="shared" si="1"/>
        <v>0</v>
      </c>
      <c r="J79" s="86"/>
      <c r="K79" s="80"/>
      <c r="L79" s="185"/>
      <c r="M79" s="418" t="str">
        <f>HYPERLINK("https://www.youtube.com/watch?v=9fpKWAPudyo&amp;feature=youtu.be","Video Solution - Eng Muntaser Abukadeja")</f>
        <v>Video Solution - Eng Muntaser Abukadeja</v>
      </c>
      <c r="N79" s="287" t="s">
        <v>1228</v>
      </c>
      <c r="O79" s="287">
        <v>1.0</v>
      </c>
      <c r="P79" s="412">
        <v>2.0</v>
      </c>
    </row>
    <row r="80">
      <c r="A80" s="107" t="s">
        <v>432</v>
      </c>
      <c r="B80" s="415" t="str">
        <f>HYPERLINK("http://codeforces.com/contest/152/problem/B","CF152-D2-B")</f>
        <v>CF152-D2-B</v>
      </c>
      <c r="C80" s="185"/>
      <c r="D80" s="185"/>
      <c r="E80" s="185"/>
      <c r="F80" s="185"/>
      <c r="G80" s="185"/>
      <c r="H80" s="186"/>
      <c r="I80" s="81">
        <f t="shared" si="1"/>
        <v>0</v>
      </c>
      <c r="J80" s="86"/>
      <c r="K80" s="80"/>
      <c r="L80" s="185"/>
      <c r="M80" s="418" t="str">
        <f>HYPERLINK("https://www.youtube.com/watch?v=PNB_OSbdCpQ&amp;feature=youtu.be","Video Solution - Eng Muntaser Abukadeja")</f>
        <v>Video Solution - Eng Muntaser Abukadeja</v>
      </c>
      <c r="N80" s="287" t="s">
        <v>1228</v>
      </c>
      <c r="O80" s="287">
        <v>1.0</v>
      </c>
      <c r="P80" s="412">
        <v>2.0</v>
      </c>
    </row>
    <row r="81">
      <c r="A81" s="107" t="s">
        <v>393</v>
      </c>
      <c r="B81" s="415" t="str">
        <f>HYPERLINK("http://codeforces.com/contest/16/problem/B","CF16-D2-B")</f>
        <v>CF16-D2-B</v>
      </c>
      <c r="C81" s="185"/>
      <c r="D81" s="185"/>
      <c r="E81" s="185"/>
      <c r="F81" s="185"/>
      <c r="G81" s="185"/>
      <c r="H81" s="186"/>
      <c r="I81" s="81">
        <f t="shared" si="1"/>
        <v>0</v>
      </c>
      <c r="J81" s="86"/>
      <c r="K81" s="80"/>
      <c r="L81" s="185"/>
      <c r="M81" s="418" t="str">
        <f>HYPERLINK("https://www.youtube.com/watch?v=eDg_yuWBS8o&amp;feature=youtu.be","Video Solution - Eng Muntaser Abukadeja")</f>
        <v>Video Solution - Eng Muntaser Abukadeja</v>
      </c>
      <c r="N81" s="287" t="s">
        <v>1228</v>
      </c>
      <c r="O81" s="287">
        <v>1.0</v>
      </c>
      <c r="P81" s="412">
        <v>2.0</v>
      </c>
    </row>
    <row r="82">
      <c r="A82" s="107" t="s">
        <v>433</v>
      </c>
      <c r="B82" s="415" t="str">
        <f>HYPERLINK("http://codeforces.com/contest/186/problem/B","CF186-D2-B")</f>
        <v>CF186-D2-B</v>
      </c>
      <c r="C82" s="185"/>
      <c r="D82" s="185"/>
      <c r="E82" s="185"/>
      <c r="F82" s="185"/>
      <c r="G82" s="185"/>
      <c r="H82" s="186"/>
      <c r="I82" s="81">
        <f t="shared" si="1"/>
        <v>0</v>
      </c>
      <c r="J82" s="86"/>
      <c r="K82" s="80"/>
      <c r="L82" s="185"/>
      <c r="M82" s="418" t="str">
        <f>HYPERLINK("https://www.youtube.com/watch?v=WdzdNdsaku4","Video Solution - Eng Mohamed Salah")</f>
        <v>Video Solution - Eng Mohamed Salah</v>
      </c>
      <c r="N82" s="287" t="s">
        <v>1228</v>
      </c>
      <c r="O82" s="287">
        <v>1.0</v>
      </c>
      <c r="P82" s="412">
        <v>2.0</v>
      </c>
    </row>
    <row r="83">
      <c r="A83" s="107" t="s">
        <v>429</v>
      </c>
      <c r="B83" s="415" t="str">
        <f>HYPERLINK("http://codeforces.com/contest/215/problem/B","CF215-D2-B")</f>
        <v>CF215-D2-B</v>
      </c>
      <c r="C83" s="185"/>
      <c r="D83" s="185"/>
      <c r="E83" s="185"/>
      <c r="F83" s="185"/>
      <c r="G83" s="185"/>
      <c r="H83" s="186"/>
      <c r="I83" s="81">
        <f t="shared" si="1"/>
        <v>0</v>
      </c>
      <c r="J83" s="86"/>
      <c r="K83" s="80"/>
      <c r="L83" s="185"/>
      <c r="M83" s="195" t="str">
        <f>HYPERLINK("https://www.youtube.com/watch?v=9PMRkDH1SAY&amp;t=4s","Video Solution - Eng Ahmed Salah")</f>
        <v>Video Solution - Eng Ahmed Salah</v>
      </c>
      <c r="N83" s="287" t="s">
        <v>1228</v>
      </c>
      <c r="O83" s="287">
        <v>1.0</v>
      </c>
      <c r="P83" s="412">
        <v>2.0</v>
      </c>
    </row>
    <row r="84">
      <c r="A84" s="107" t="s">
        <v>397</v>
      </c>
      <c r="B84" s="415" t="str">
        <f>HYPERLINK("http://codeforces.com/contest/227/problem/B","CF227-D2-B")</f>
        <v>CF227-D2-B</v>
      </c>
      <c r="C84" s="185"/>
      <c r="D84" s="185"/>
      <c r="E84" s="185"/>
      <c r="F84" s="185"/>
      <c r="G84" s="185"/>
      <c r="H84" s="186"/>
      <c r="I84" s="81">
        <f t="shared" si="1"/>
        <v>0</v>
      </c>
      <c r="J84" s="86"/>
      <c r="K84" s="80"/>
      <c r="L84" s="185"/>
      <c r="M84" s="418" t="str">
        <f>HYPERLINK("https://www.youtube.com/watch?v=76gg4S0A2nk","Video Solution - Eng Abanob Ashraf")</f>
        <v>Video Solution - Eng Abanob Ashraf</v>
      </c>
      <c r="N84" s="287" t="s">
        <v>1228</v>
      </c>
      <c r="O84" s="287">
        <v>1.0</v>
      </c>
      <c r="P84" s="412">
        <v>2.0</v>
      </c>
    </row>
    <row r="85">
      <c r="A85" s="107" t="s">
        <v>443</v>
      </c>
      <c r="B85" s="415" t="str">
        <f>HYPERLINK("http://codeforces.com/contest/262/problem/B","CF262-D2-B")</f>
        <v>CF262-D2-B</v>
      </c>
      <c r="C85" s="185"/>
      <c r="D85" s="185"/>
      <c r="E85" s="185"/>
      <c r="F85" s="185"/>
      <c r="G85" s="185"/>
      <c r="H85" s="186"/>
      <c r="I85" s="81">
        <f t="shared" si="1"/>
        <v>0</v>
      </c>
      <c r="J85" s="86"/>
      <c r="K85" s="80"/>
      <c r="L85" s="185"/>
      <c r="M85" s="418" t="str">
        <f>HYPERLINK("https://www.youtube.com/watch?v=6Ic_MPWfhEg","Video Solution - Eng Mohamed Salah")</f>
        <v>Video Solution - Eng Mohamed Salah</v>
      </c>
      <c r="N85" s="287" t="s">
        <v>1228</v>
      </c>
      <c r="O85" s="287">
        <v>1.0</v>
      </c>
      <c r="P85" s="412">
        <v>2.0</v>
      </c>
    </row>
    <row r="86">
      <c r="A86" s="107" t="s">
        <v>479</v>
      </c>
      <c r="B86" s="415" t="str">
        <f>HYPERLINK("http://codeforces.com/contest/337/problem/B","CF337-D2-B")</f>
        <v>CF337-D2-B</v>
      </c>
      <c r="C86" s="185"/>
      <c r="D86" s="185"/>
      <c r="E86" s="185"/>
      <c r="F86" s="185"/>
      <c r="G86" s="185"/>
      <c r="H86" s="186"/>
      <c r="I86" s="81">
        <f t="shared" si="1"/>
        <v>0</v>
      </c>
      <c r="J86" s="86"/>
      <c r="K86" s="80"/>
      <c r="L86" s="185"/>
      <c r="M86" s="427" t="str">
        <f>HYPERLINK("https://www.youtube.com/watch?v=NaB4pnNbXEY","Video Solution - Eng Mohamed Adel")</f>
        <v>Video Solution - Eng Mohamed Adel</v>
      </c>
      <c r="N86" s="287" t="s">
        <v>1228</v>
      </c>
      <c r="O86" s="287">
        <v>1.0</v>
      </c>
      <c r="P86" s="412">
        <v>2.0</v>
      </c>
    </row>
    <row r="87">
      <c r="A87" s="107" t="s">
        <v>446</v>
      </c>
      <c r="B87" s="415" t="str">
        <f>HYPERLINK("http://codeforces.com/contest/352/problem/B","CF352-D2-B")</f>
        <v>CF352-D2-B</v>
      </c>
      <c r="C87" s="185"/>
      <c r="D87" s="185"/>
      <c r="E87" s="185"/>
      <c r="F87" s="185"/>
      <c r="G87" s="185"/>
      <c r="H87" s="186"/>
      <c r="I87" s="81">
        <f t="shared" si="1"/>
        <v>0</v>
      </c>
      <c r="J87" s="86"/>
      <c r="K87" s="80"/>
      <c r="L87" s="185"/>
      <c r="M87" s="418" t="str">
        <f>HYPERLINK("https://www.youtube.com/watch?v=7xgzxrYuwUc","Video Solution - Eng Muntaser Abukadeja")</f>
        <v>Video Solution - Eng Muntaser Abukadeja</v>
      </c>
      <c r="N87" s="287" t="s">
        <v>1228</v>
      </c>
      <c r="O87" s="287">
        <v>1.0</v>
      </c>
      <c r="P87" s="412">
        <v>2.0</v>
      </c>
    </row>
    <row r="88">
      <c r="A88" s="107" t="s">
        <v>445</v>
      </c>
      <c r="B88" s="415" t="str">
        <f>HYPERLINK("http://codeforces.com/contest/376/problem/B","CF376-D2-B")</f>
        <v>CF376-D2-B</v>
      </c>
      <c r="C88" s="185"/>
      <c r="D88" s="185"/>
      <c r="E88" s="185"/>
      <c r="F88" s="185"/>
      <c r="G88" s="185"/>
      <c r="H88" s="186"/>
      <c r="I88" s="81">
        <f t="shared" si="1"/>
        <v>0</v>
      </c>
      <c r="J88" s="86"/>
      <c r="K88" s="80"/>
      <c r="L88" s="185"/>
      <c r="M88" s="418" t="str">
        <f>HYPERLINK("https://www.youtube.com/watch?v=d962qNWSvas&amp;feature=youtu.be","Video Solution - Eng Abanob Ashraf")</f>
        <v>Video Solution - Eng Abanob Ashraf</v>
      </c>
      <c r="N88" s="287" t="s">
        <v>1228</v>
      </c>
      <c r="O88" s="287">
        <v>1.0</v>
      </c>
      <c r="P88" s="412">
        <v>2.0</v>
      </c>
    </row>
    <row r="89">
      <c r="A89" s="107" t="s">
        <v>797</v>
      </c>
      <c r="B89" s="415" t="str">
        <f>HYPERLINK("http://codeforces.com/contest/384/problem/B","CF384-D2-B")</f>
        <v>CF384-D2-B</v>
      </c>
      <c r="C89" s="185"/>
      <c r="D89" s="185"/>
      <c r="E89" s="185"/>
      <c r="F89" s="185"/>
      <c r="G89" s="185"/>
      <c r="H89" s="186"/>
      <c r="I89" s="81">
        <f t="shared" si="1"/>
        <v>0</v>
      </c>
      <c r="J89" s="86"/>
      <c r="K89" s="80"/>
      <c r="L89" s="185"/>
      <c r="M89" s="257"/>
      <c r="N89" s="287" t="s">
        <v>1228</v>
      </c>
      <c r="O89" s="287">
        <v>1.0</v>
      </c>
      <c r="P89" s="412">
        <v>2.0</v>
      </c>
    </row>
    <row r="90">
      <c r="A90" s="107" t="s">
        <v>444</v>
      </c>
      <c r="B90" s="415" t="str">
        <f>HYPERLINK("http://codeforces.com/contest/385/problem/B","CF385-D2-B")</f>
        <v>CF385-D2-B</v>
      </c>
      <c r="C90" s="185"/>
      <c r="D90" s="185"/>
      <c r="E90" s="185"/>
      <c r="F90" s="185"/>
      <c r="G90" s="185"/>
      <c r="H90" s="186"/>
      <c r="I90" s="81">
        <f t="shared" si="1"/>
        <v>0</v>
      </c>
      <c r="J90" s="86"/>
      <c r="K90" s="80"/>
      <c r="L90" s="185"/>
      <c r="M90" s="418" t="str">
        <f>HYPERLINK("https://www.youtube.com/watch?v=hTUYMzcMuvA","Video Solution - Eng Mohamed Salah")</f>
        <v>Video Solution - Eng Mohamed Salah</v>
      </c>
      <c r="N90" s="287" t="s">
        <v>1228</v>
      </c>
      <c r="O90" s="287">
        <v>1.0</v>
      </c>
      <c r="P90" s="412">
        <v>2.0</v>
      </c>
    </row>
    <row r="91">
      <c r="A91" s="107" t="s">
        <v>431</v>
      </c>
      <c r="B91" s="415" t="str">
        <f>HYPERLINK("http://codeforces.com/contest/400/problem/B","CF400-D2-B")</f>
        <v>CF400-D2-B</v>
      </c>
      <c r="C91" s="185"/>
      <c r="D91" s="185"/>
      <c r="E91" s="185"/>
      <c r="F91" s="185"/>
      <c r="G91" s="185"/>
      <c r="H91" s="186"/>
      <c r="I91" s="81">
        <f t="shared" si="1"/>
        <v>0</v>
      </c>
      <c r="J91" s="86"/>
      <c r="K91" s="80"/>
      <c r="L91" s="185"/>
      <c r="M91" s="418" t="str">
        <f>HYPERLINK("https://www.youtube.com/watch?v=ZWL57YYKwUM&amp;t=1s","Video Solution - Eng Mohamed Salah")</f>
        <v>Video Solution - Eng Mohamed Salah</v>
      </c>
      <c r="N91" s="287" t="s">
        <v>1228</v>
      </c>
      <c r="O91" s="287">
        <v>1.0</v>
      </c>
      <c r="P91" s="412">
        <v>2.0</v>
      </c>
    </row>
    <row r="92">
      <c r="A92" s="107" t="s">
        <v>474</v>
      </c>
      <c r="B92" s="415" t="str">
        <f>HYPERLINK("http://codeforces.com/contest/415/problem/B","CF415-D2-B")</f>
        <v>CF415-D2-B</v>
      </c>
      <c r="C92" s="185"/>
      <c r="D92" s="185"/>
      <c r="E92" s="185"/>
      <c r="F92" s="185"/>
      <c r="G92" s="185"/>
      <c r="H92" s="186"/>
      <c r="I92" s="81">
        <f t="shared" si="1"/>
        <v>0</v>
      </c>
      <c r="J92" s="86"/>
      <c r="K92" s="80"/>
      <c r="L92" s="185"/>
      <c r="M92" s="219" t="str">
        <f>HYPERLINK("https://www.youtube.com/watch?v=ZNxSTHmpLGc&amp;feature=youtu.be","Video Solution - Eng Salma Yehia")</f>
        <v>Video Solution - Eng Salma Yehia</v>
      </c>
      <c r="N92" s="287" t="s">
        <v>1228</v>
      </c>
      <c r="O92" s="287">
        <v>1.0</v>
      </c>
      <c r="P92" s="412">
        <v>2.0</v>
      </c>
    </row>
    <row r="93">
      <c r="A93" s="107" t="s">
        <v>487</v>
      </c>
      <c r="B93" s="415" t="str">
        <f>HYPERLINK("http://codeforces.com/contest/435/problem/B","CF435-D2-B")</f>
        <v>CF435-D2-B</v>
      </c>
      <c r="C93" s="185"/>
      <c r="D93" s="185"/>
      <c r="E93" s="185"/>
      <c r="F93" s="185"/>
      <c r="G93" s="185"/>
      <c r="H93" s="186"/>
      <c r="I93" s="81">
        <f t="shared" si="1"/>
        <v>0</v>
      </c>
      <c r="J93" s="86"/>
      <c r="K93" s="80"/>
      <c r="L93" s="185"/>
      <c r="M93" s="418" t="str">
        <f>HYPERLINK("https://www.youtube.com/watch?v=hDsuoSTdytw&amp;feature=youtu.be","Video Solution - Eng Hossam Yehia")</f>
        <v>Video Solution - Eng Hossam Yehia</v>
      </c>
      <c r="N93" s="287" t="s">
        <v>1228</v>
      </c>
      <c r="O93" s="287">
        <v>1.0</v>
      </c>
      <c r="P93" s="412">
        <v>2.0</v>
      </c>
    </row>
    <row r="94">
      <c r="A94" s="107" t="s">
        <v>457</v>
      </c>
      <c r="B94" s="415" t="str">
        <f>HYPERLINK("http://codeforces.com/contest/445/problem/B","CF445-D2-B")</f>
        <v>CF445-D2-B</v>
      </c>
      <c r="C94" s="185"/>
      <c r="D94" s="185"/>
      <c r="E94" s="185"/>
      <c r="F94" s="185"/>
      <c r="G94" s="185"/>
      <c r="H94" s="186"/>
      <c r="I94" s="81">
        <f t="shared" si="1"/>
        <v>0</v>
      </c>
      <c r="J94" s="86"/>
      <c r="K94" s="80"/>
      <c r="L94" s="185"/>
      <c r="M94" s="206" t="s">
        <v>458</v>
      </c>
      <c r="N94" s="287" t="s">
        <v>1228</v>
      </c>
      <c r="O94" s="287">
        <v>1.0</v>
      </c>
      <c r="P94" s="412">
        <v>2.0</v>
      </c>
    </row>
    <row r="95">
      <c r="A95" s="107" t="s">
        <v>460</v>
      </c>
      <c r="B95" s="415" t="str">
        <f>HYPERLINK("http://codeforces.com/contest/448/problem/B","CF448-D2-B")</f>
        <v>CF448-D2-B</v>
      </c>
      <c r="C95" s="185"/>
      <c r="D95" s="185"/>
      <c r="E95" s="185"/>
      <c r="F95" s="185"/>
      <c r="G95" s="185"/>
      <c r="H95" s="186"/>
      <c r="I95" s="81">
        <f t="shared" si="1"/>
        <v>0</v>
      </c>
      <c r="J95" s="86"/>
      <c r="K95" s="80"/>
      <c r="L95" s="185"/>
      <c r="M95" s="418" t="str">
        <f>HYPERLINK("https://www.youtube.com/watch?v=-J0VaYdgbRc","Video Solution - Eng Mohamed Salah")</f>
        <v>Video Solution - Eng Mohamed Salah</v>
      </c>
      <c r="N95" s="287" t="s">
        <v>1228</v>
      </c>
      <c r="O95" s="287">
        <v>1.0</v>
      </c>
      <c r="P95" s="412">
        <v>2.0</v>
      </c>
    </row>
    <row r="96">
      <c r="A96" s="107" t="s">
        <v>428</v>
      </c>
      <c r="B96" s="415" t="str">
        <f>HYPERLINK("http://codeforces.com/contest/469/problem/B","CF469-D2-B")</f>
        <v>CF469-D2-B</v>
      </c>
      <c r="C96" s="185"/>
      <c r="D96" s="185"/>
      <c r="E96" s="185"/>
      <c r="F96" s="185"/>
      <c r="G96" s="185"/>
      <c r="H96" s="186"/>
      <c r="I96" s="81">
        <f t="shared" si="1"/>
        <v>0</v>
      </c>
      <c r="J96" s="86"/>
      <c r="K96" s="80"/>
      <c r="L96" s="185"/>
      <c r="M96" s="418" t="str">
        <f>HYPERLINK("https://www.youtube.com/watch?v=7ns-xfWB-8g","Video Solution - Eng Mohamed Adel")</f>
        <v>Video Solution - Eng Mohamed Adel</v>
      </c>
      <c r="N96" s="287" t="s">
        <v>1228</v>
      </c>
      <c r="O96" s="287">
        <v>1.0</v>
      </c>
      <c r="P96" s="412">
        <v>2.0</v>
      </c>
    </row>
    <row r="97">
      <c r="A97" s="107" t="s">
        <v>396</v>
      </c>
      <c r="B97" s="415" t="str">
        <f>HYPERLINK("http://codeforces.com/contest/47/problem/B","CF47-D2-B")</f>
        <v>CF47-D2-B</v>
      </c>
      <c r="C97" s="185"/>
      <c r="D97" s="185"/>
      <c r="E97" s="185"/>
      <c r="F97" s="185"/>
      <c r="G97" s="185"/>
      <c r="H97" s="186"/>
      <c r="I97" s="81">
        <f t="shared" si="1"/>
        <v>0</v>
      </c>
      <c r="J97" s="86"/>
      <c r="K97" s="80"/>
      <c r="L97" s="185"/>
      <c r="M97" s="418" t="str">
        <f>HYPERLINK("https://www.youtube.com/watch?v=lvK0ZlpWeEY&amp;feature=youtu.be","Video Solution - Eng Samed Hajajla")</f>
        <v>Video Solution - Eng Samed Hajajla</v>
      </c>
      <c r="N97" s="287" t="s">
        <v>1228</v>
      </c>
      <c r="O97" s="287">
        <v>1.0</v>
      </c>
      <c r="P97" s="412">
        <v>2.0</v>
      </c>
    </row>
    <row r="98">
      <c r="A98" s="107" t="s">
        <v>477</v>
      </c>
      <c r="B98" s="415" t="str">
        <f>HYPERLINK("http://codeforces.com/contest/486/problem/B","CF486-D2-B")</f>
        <v>CF486-D2-B</v>
      </c>
      <c r="C98" s="185"/>
      <c r="D98" s="185"/>
      <c r="E98" s="185"/>
      <c r="F98" s="185"/>
      <c r="G98" s="185"/>
      <c r="H98" s="186"/>
      <c r="I98" s="81">
        <f t="shared" si="1"/>
        <v>0</v>
      </c>
      <c r="J98" s="86"/>
      <c r="K98" s="80"/>
      <c r="L98" s="185"/>
      <c r="M98" s="428"/>
      <c r="N98" s="287" t="s">
        <v>1228</v>
      </c>
      <c r="O98" s="287">
        <v>1.0</v>
      </c>
      <c r="P98" s="412">
        <v>2.0</v>
      </c>
    </row>
    <row r="99">
      <c r="A99" s="107" t="s">
        <v>480</v>
      </c>
      <c r="B99" s="415" t="str">
        <f>HYPERLINK("http://codeforces.com/contest/493/problem/B","CF493-D2-B")</f>
        <v>CF493-D2-B</v>
      </c>
      <c r="C99" s="185"/>
      <c r="D99" s="185"/>
      <c r="E99" s="185"/>
      <c r="F99" s="185"/>
      <c r="G99" s="185"/>
      <c r="H99" s="186"/>
      <c r="I99" s="81">
        <f t="shared" si="1"/>
        <v>0</v>
      </c>
      <c r="J99" s="86"/>
      <c r="K99" s="80"/>
      <c r="L99" s="185"/>
      <c r="M99" s="428"/>
      <c r="N99" s="287" t="s">
        <v>1228</v>
      </c>
      <c r="O99" s="287">
        <v>1.0</v>
      </c>
      <c r="P99" s="412">
        <v>2.0</v>
      </c>
    </row>
    <row r="100">
      <c r="A100" s="107" t="s">
        <v>813</v>
      </c>
      <c r="B100" s="415" t="str">
        <f>HYPERLINK("http://codeforces.com/contest/496/problem/B","CF496-D2-B")</f>
        <v>CF496-D2-B</v>
      </c>
      <c r="C100" s="185"/>
      <c r="D100" s="185"/>
      <c r="E100" s="185"/>
      <c r="F100" s="185"/>
      <c r="G100" s="185"/>
      <c r="H100" s="186"/>
      <c r="I100" s="81">
        <f t="shared" si="1"/>
        <v>0</v>
      </c>
      <c r="J100" s="86"/>
      <c r="K100" s="80"/>
      <c r="L100" s="185"/>
      <c r="M100" s="257"/>
      <c r="N100" s="287" t="s">
        <v>1228</v>
      </c>
      <c r="O100" s="287">
        <v>1.0</v>
      </c>
      <c r="P100" s="412">
        <v>2.0</v>
      </c>
    </row>
    <row r="101">
      <c r="A101" s="107" t="s">
        <v>456</v>
      </c>
      <c r="B101" s="415" t="str">
        <f>HYPERLINK("http://codeforces.com/contest/505/problem/B","CF505-D2-B")</f>
        <v>CF505-D2-B</v>
      </c>
      <c r="C101" s="185"/>
      <c r="D101" s="185"/>
      <c r="E101" s="185"/>
      <c r="F101" s="185"/>
      <c r="G101" s="185"/>
      <c r="H101" s="186"/>
      <c r="I101" s="81">
        <f t="shared" si="1"/>
        <v>0</v>
      </c>
      <c r="J101" s="126"/>
      <c r="K101" s="125"/>
      <c r="L101" s="185"/>
      <c r="M101" s="429" t="str">
        <f>HYPERLINK("https://www.youtube.com/watch?v=4516VTXcDJM&amp;feature=youtu.be","Video Solution - Eng Muntaser Abukadeja")</f>
        <v>Video Solution - Eng Muntaser Abukadeja</v>
      </c>
      <c r="N101" s="287" t="s">
        <v>1228</v>
      </c>
      <c r="O101" s="287">
        <v>1.0</v>
      </c>
      <c r="P101" s="412">
        <v>2.0</v>
      </c>
    </row>
    <row r="102">
      <c r="A102" s="107" t="s">
        <v>478</v>
      </c>
      <c r="B102" s="415" t="str">
        <f>HYPERLINK("http://codeforces.com/contest/510/problem/B","CF510-D2-B")</f>
        <v>CF510-D2-B</v>
      </c>
      <c r="C102" s="185"/>
      <c r="D102" s="185"/>
      <c r="E102" s="185"/>
      <c r="F102" s="185"/>
      <c r="G102" s="185"/>
      <c r="H102" s="186"/>
      <c r="I102" s="81">
        <f t="shared" si="1"/>
        <v>0</v>
      </c>
      <c r="J102" s="86"/>
      <c r="K102" s="80"/>
      <c r="L102" s="185"/>
      <c r="M102" s="427" t="str">
        <f>HYPERLINK("https://www.youtube.com/watch?v=LHIZzMjnG0k&amp;feature=youtu.be","Video Solution - Eng Mohamed Adel")</f>
        <v>Video Solution - Eng Mohamed Adel</v>
      </c>
      <c r="N102" s="287" t="s">
        <v>1228</v>
      </c>
      <c r="O102" s="287">
        <v>1.0</v>
      </c>
      <c r="P102" s="412">
        <v>2.0</v>
      </c>
    </row>
    <row r="103">
      <c r="A103" s="107" t="s">
        <v>489</v>
      </c>
      <c r="B103" s="415" t="str">
        <f>HYPERLINK("http://codeforces.com/contest/525/problem/B","CF525-D2-B")</f>
        <v>CF525-D2-B</v>
      </c>
      <c r="C103" s="185"/>
      <c r="D103" s="185"/>
      <c r="E103" s="185"/>
      <c r="F103" s="185"/>
      <c r="G103" s="185"/>
      <c r="H103" s="186"/>
      <c r="I103" s="81">
        <f t="shared" si="1"/>
        <v>0</v>
      </c>
      <c r="J103" s="86"/>
      <c r="K103" s="80"/>
      <c r="L103" s="185"/>
      <c r="M103" s="418" t="str">
        <f>HYPERLINK("https://www.youtube.com/watch?v=NPVp5BntYZ4","Video Solution - Eng Hossam Yehia")</f>
        <v>Video Solution - Eng Hossam Yehia</v>
      </c>
      <c r="N103" s="287" t="s">
        <v>1228</v>
      </c>
      <c r="O103" s="287">
        <v>1.0</v>
      </c>
      <c r="P103" s="412">
        <v>2.0</v>
      </c>
    </row>
    <row r="104">
      <c r="A104" s="107" t="s">
        <v>462</v>
      </c>
      <c r="B104" s="415" t="str">
        <f>HYPERLINK("http://codeforces.com/contest/544/problem/B","CF544-D2-B")</f>
        <v>CF544-D2-B</v>
      </c>
      <c r="C104" s="185"/>
      <c r="D104" s="185"/>
      <c r="E104" s="185"/>
      <c r="F104" s="185"/>
      <c r="G104" s="185"/>
      <c r="H104" s="186"/>
      <c r="I104" s="81">
        <f t="shared" si="1"/>
        <v>0</v>
      </c>
      <c r="J104" s="86"/>
      <c r="K104" s="80"/>
      <c r="L104" s="185"/>
      <c r="M104" s="418" t="str">
        <f>HYPERLINK("https://www.youtube.com/watch?v=7MC9PFQTlxs","Video Solution - Eng Mohamed Salah")</f>
        <v>Video Solution - Eng Mohamed Salah</v>
      </c>
      <c r="N104" s="287" t="s">
        <v>1228</v>
      </c>
      <c r="O104" s="287">
        <v>1.0</v>
      </c>
      <c r="P104" s="412">
        <v>2.0</v>
      </c>
    </row>
    <row r="105">
      <c r="A105" s="107" t="s">
        <v>483</v>
      </c>
      <c r="B105" s="415" t="str">
        <f>HYPERLINK("http://codeforces.com/contest/580/problem/B","CF580-D2-B")</f>
        <v>CF580-D2-B</v>
      </c>
      <c r="C105" s="185"/>
      <c r="D105" s="185"/>
      <c r="E105" s="185"/>
      <c r="F105" s="185"/>
      <c r="G105" s="185"/>
      <c r="H105" s="186"/>
      <c r="I105" s="81">
        <f t="shared" si="1"/>
        <v>0</v>
      </c>
      <c r="J105" s="86"/>
      <c r="K105" s="80"/>
      <c r="L105" s="185"/>
      <c r="M105" s="421" t="str">
        <f>HYPERLINK("https://www.youtube.com/watch?v=kUXDNSkFECM","Video Solution - SolverToBe (Java)")</f>
        <v>Video Solution - SolverToBe (Java)</v>
      </c>
      <c r="N105" s="287" t="s">
        <v>1228</v>
      </c>
      <c r="O105" s="287">
        <v>1.0</v>
      </c>
      <c r="P105" s="412">
        <v>2.0</v>
      </c>
    </row>
    <row r="106">
      <c r="A106" s="107" t="s">
        <v>459</v>
      </c>
      <c r="B106" s="415" t="str">
        <f>HYPERLINK("http://codeforces.com/contest/584/problem/B","CF584-D2-B")</f>
        <v>CF584-D2-B</v>
      </c>
      <c r="C106" s="185"/>
      <c r="D106" s="185"/>
      <c r="E106" s="185"/>
      <c r="F106" s="185"/>
      <c r="G106" s="185"/>
      <c r="H106" s="186"/>
      <c r="I106" s="81">
        <f t="shared" si="1"/>
        <v>0</v>
      </c>
      <c r="J106" s="86"/>
      <c r="K106" s="80"/>
      <c r="L106" s="185"/>
      <c r="M106" s="418" t="str">
        <f>HYPERLINK("https://www.youtube.com/watch?v=-Dh_FyJiJ9Q","Video Solution - Eng Yahia Ashraf")</f>
        <v>Video Solution - Eng Yahia Ashraf</v>
      </c>
      <c r="N106" s="287" t="s">
        <v>1228</v>
      </c>
      <c r="O106" s="287">
        <v>1.0</v>
      </c>
      <c r="P106" s="412">
        <v>2.0</v>
      </c>
    </row>
    <row r="107">
      <c r="A107" s="107" t="s">
        <v>475</v>
      </c>
      <c r="B107" s="415" t="str">
        <f>HYPERLINK("http://codeforces.com/contest/602/problem/B","CF602-D2-B")</f>
        <v>CF602-D2-B</v>
      </c>
      <c r="C107" s="185"/>
      <c r="D107" s="185"/>
      <c r="E107" s="185"/>
      <c r="F107" s="185"/>
      <c r="G107" s="185"/>
      <c r="H107" s="186"/>
      <c r="I107" s="81">
        <f t="shared" si="1"/>
        <v>0</v>
      </c>
      <c r="J107" s="86"/>
      <c r="K107" s="80"/>
      <c r="L107" s="185"/>
      <c r="M107" s="257"/>
      <c r="N107" s="287" t="s">
        <v>1228</v>
      </c>
      <c r="O107" s="287">
        <v>1.0</v>
      </c>
      <c r="P107" s="412">
        <v>2.0</v>
      </c>
    </row>
    <row r="108">
      <c r="A108" s="107" t="s">
        <v>481</v>
      </c>
      <c r="B108" s="415" t="str">
        <f>HYPERLINK("http://codeforces.com/contest/608/problem/B","CF608-D2-B")</f>
        <v>CF608-D2-B</v>
      </c>
      <c r="C108" s="185"/>
      <c r="D108" s="185"/>
      <c r="E108" s="185"/>
      <c r="F108" s="185"/>
      <c r="G108" s="185"/>
      <c r="H108" s="186"/>
      <c r="I108" s="81">
        <f t="shared" si="1"/>
        <v>0</v>
      </c>
      <c r="J108" s="86"/>
      <c r="K108" s="80"/>
      <c r="L108" s="185"/>
      <c r="M108" s="428"/>
      <c r="N108" s="287" t="s">
        <v>1228</v>
      </c>
      <c r="O108" s="287">
        <v>1.0</v>
      </c>
      <c r="P108" s="412">
        <v>2.0</v>
      </c>
    </row>
    <row r="109">
      <c r="A109" s="107" t="s">
        <v>391</v>
      </c>
      <c r="B109" s="415" t="str">
        <f>HYPERLINK("http://codeforces.com/contest/66/problem/B","CF66-D2-B")</f>
        <v>CF66-D2-B</v>
      </c>
      <c r="C109" s="185"/>
      <c r="D109" s="185"/>
      <c r="E109" s="185"/>
      <c r="F109" s="185"/>
      <c r="G109" s="185"/>
      <c r="H109" s="186"/>
      <c r="I109" s="81">
        <f t="shared" si="1"/>
        <v>0</v>
      </c>
      <c r="J109" s="86"/>
      <c r="K109" s="80"/>
      <c r="L109" s="185"/>
      <c r="M109" s="418" t="str">
        <f>HYPERLINK("https://www.youtube.com/watch?v=XRgCL-gVU7M&amp;feature=youtu.be","Video Solution - Eng Muntaser Abukadeja")</f>
        <v>Video Solution - Eng Muntaser Abukadeja</v>
      </c>
      <c r="N109" s="287" t="s">
        <v>1228</v>
      </c>
      <c r="O109" s="287">
        <v>1.0</v>
      </c>
      <c r="P109" s="412">
        <v>2.0</v>
      </c>
    </row>
    <row r="110">
      <c r="A110" s="107" t="s">
        <v>392</v>
      </c>
      <c r="B110" s="415" t="str">
        <f>HYPERLINK("http://codeforces.com/contest/680/problem/B","CF680-D2-B")</f>
        <v>CF680-D2-B</v>
      </c>
      <c r="C110" s="185"/>
      <c r="D110" s="185"/>
      <c r="E110" s="185"/>
      <c r="F110" s="185"/>
      <c r="G110" s="185"/>
      <c r="H110" s="186"/>
      <c r="I110" s="81">
        <f t="shared" si="1"/>
        <v>0</v>
      </c>
      <c r="J110" s="86"/>
      <c r="K110" s="80"/>
      <c r="L110" s="185"/>
      <c r="M110" s="418" t="str">
        <f>HYPERLINK("https://www.youtube.com/watch?v=oKRNtI-ZI5g&amp;feature=youtu.be","Video Solution - Eng Muntaser Abukadeja")</f>
        <v>Video Solution - Eng Muntaser Abukadeja</v>
      </c>
      <c r="N110" s="287" t="s">
        <v>1228</v>
      </c>
      <c r="O110" s="287">
        <v>1.0</v>
      </c>
      <c r="P110" s="412">
        <v>2.0</v>
      </c>
    </row>
    <row r="111">
      <c r="A111" s="107" t="s">
        <v>430</v>
      </c>
      <c r="B111" s="415" t="str">
        <f>HYPERLINK("http://codeforces.com/contest/714/problem/B","CF714-D2-B")</f>
        <v>CF714-D2-B</v>
      </c>
      <c r="C111" s="185"/>
      <c r="D111" s="185"/>
      <c r="E111" s="185"/>
      <c r="F111" s="185"/>
      <c r="G111" s="185"/>
      <c r="H111" s="186"/>
      <c r="I111" s="81">
        <f t="shared" si="1"/>
        <v>0</v>
      </c>
      <c r="J111" s="86"/>
      <c r="K111" s="80"/>
      <c r="L111" s="185"/>
      <c r="M111" s="418" t="str">
        <f>HYPERLINK("https://www.youtube.com/watch?v=aDDoryh3x_g","Video Solution - Eng Muntaser Abukadeja")</f>
        <v>Video Solution - Eng Muntaser Abukadeja</v>
      </c>
      <c r="N111" s="287" t="s">
        <v>1228</v>
      </c>
      <c r="O111" s="287">
        <v>1.0</v>
      </c>
      <c r="P111" s="412">
        <v>2.0</v>
      </c>
    </row>
    <row r="112">
      <c r="A112" s="107" t="s">
        <v>461</v>
      </c>
      <c r="B112" s="415" t="str">
        <f>HYPERLINK("http://codeforces.com/contest/716/problem/B","CF716-D2-B")</f>
        <v>CF716-D2-B</v>
      </c>
      <c r="C112" s="185"/>
      <c r="D112" s="185"/>
      <c r="E112" s="185"/>
      <c r="F112" s="185"/>
      <c r="G112" s="185"/>
      <c r="H112" s="186"/>
      <c r="I112" s="81">
        <f t="shared" si="1"/>
        <v>0</v>
      </c>
      <c r="J112" s="86"/>
      <c r="K112" s="80"/>
      <c r="L112" s="185"/>
      <c r="M112" s="418" t="str">
        <f>HYPERLINK("https://www.youtube.com/watch?v=lu6BhwVMNhw","Video Solution - Eng Mohamed Salah")</f>
        <v>Video Solution - Eng Mohamed Salah</v>
      </c>
      <c r="N112" s="287" t="s">
        <v>1228</v>
      </c>
      <c r="O112" s="287">
        <v>1.0</v>
      </c>
      <c r="P112" s="412">
        <v>2.0</v>
      </c>
    </row>
    <row r="113">
      <c r="A113" s="107" t="s">
        <v>398</v>
      </c>
      <c r="B113" s="415" t="str">
        <f>HYPERLINK("http://codeforces.com/contest/78/problem/B","CF78-D2-B")</f>
        <v>CF78-D2-B</v>
      </c>
      <c r="C113" s="185"/>
      <c r="D113" s="185"/>
      <c r="E113" s="185"/>
      <c r="F113" s="185"/>
      <c r="G113" s="185"/>
      <c r="H113" s="186"/>
      <c r="I113" s="81">
        <f t="shared" si="1"/>
        <v>0</v>
      </c>
      <c r="J113" s="86"/>
      <c r="K113" s="80"/>
      <c r="L113" s="185"/>
      <c r="M113" s="418" t="str">
        <f>HYPERLINK("https://www.youtube.com/watch?v=rJN_rI2xiV4","Video Solution - Eng Abanob Ashraf")</f>
        <v>Video Solution - Eng Abanob Ashraf</v>
      </c>
      <c r="N113" s="287" t="s">
        <v>1228</v>
      </c>
      <c r="O113" s="287">
        <v>1.0</v>
      </c>
      <c r="P113" s="412">
        <v>2.0</v>
      </c>
    </row>
    <row r="114">
      <c r="A114" s="107" t="s">
        <v>463</v>
      </c>
      <c r="B114" s="415" t="str">
        <f>HYPERLINK("http://codeforces.com/contest/141/problem/B","CF141-D2-B")</f>
        <v>CF141-D2-B</v>
      </c>
      <c r="C114" s="185"/>
      <c r="D114" s="185"/>
      <c r="E114" s="185"/>
      <c r="F114" s="185"/>
      <c r="G114" s="185"/>
      <c r="H114" s="186"/>
      <c r="I114" s="81">
        <f t="shared" si="1"/>
        <v>0</v>
      </c>
      <c r="J114" s="86"/>
      <c r="K114" s="80"/>
      <c r="L114" s="185"/>
      <c r="M114" s="430"/>
      <c r="N114" s="287" t="s">
        <v>1228</v>
      </c>
      <c r="O114" s="287">
        <v>1.0</v>
      </c>
      <c r="P114" s="412">
        <v>2.0</v>
      </c>
    </row>
    <row r="115">
      <c r="A115" s="107" t="s">
        <v>452</v>
      </c>
      <c r="B115" s="415" t="str">
        <f>HYPERLINK("http://codeforces.com/contest/253/problem/B","CF253-D2-B")</f>
        <v>CF253-D2-B</v>
      </c>
      <c r="C115" s="185"/>
      <c r="D115" s="185"/>
      <c r="E115" s="185"/>
      <c r="F115" s="185"/>
      <c r="G115" s="185"/>
      <c r="H115" s="186"/>
      <c r="I115" s="81">
        <f t="shared" si="1"/>
        <v>0</v>
      </c>
      <c r="J115" s="86"/>
      <c r="K115" s="80"/>
      <c r="L115" s="185"/>
      <c r="M115" s="418" t="str">
        <f>HYPERLINK("https://www.youtube.com/watch?v=ZR0IxC_xoFk","Video Solution - Eng Mohamed Salah")</f>
        <v>Video Solution - Eng Mohamed Salah</v>
      </c>
      <c r="N115" s="287" t="s">
        <v>1228</v>
      </c>
      <c r="O115" s="287">
        <v>1.0</v>
      </c>
      <c r="P115" s="412">
        <v>2.0</v>
      </c>
    </row>
    <row r="116">
      <c r="A116" s="107" t="s">
        <v>488</v>
      </c>
      <c r="B116" s="415" t="str">
        <f>HYPERLINK("http://codeforces.com/contest/276/problem/B","CF276-D2-B")</f>
        <v>CF276-D2-B</v>
      </c>
      <c r="C116" s="185"/>
      <c r="D116" s="185"/>
      <c r="E116" s="185"/>
      <c r="F116" s="185"/>
      <c r="G116" s="185"/>
      <c r="H116" s="186"/>
      <c r="I116" s="81">
        <f t="shared" si="1"/>
        <v>0</v>
      </c>
      <c r="J116" s="86"/>
      <c r="K116" s="80"/>
      <c r="L116" s="185"/>
      <c r="M116" s="418" t="str">
        <f>HYPERLINK("https://www.youtube.com/watch?v=WrpG_n0SrbY&amp;feature=youtu.be","Video Solution - Eng Hossam Yehia")</f>
        <v>Video Solution - Eng Hossam Yehia</v>
      </c>
      <c r="N116" s="287" t="s">
        <v>1228</v>
      </c>
      <c r="O116" s="287">
        <v>1.0</v>
      </c>
      <c r="P116" s="412">
        <v>2.0</v>
      </c>
    </row>
    <row r="117">
      <c r="A117" s="107" t="s">
        <v>486</v>
      </c>
      <c r="B117" s="415" t="str">
        <f>HYPERLINK("http://codeforces.com/contest/282/problem/B","CF282-D2-B")</f>
        <v>CF282-D2-B</v>
      </c>
      <c r="C117" s="185"/>
      <c r="D117" s="185"/>
      <c r="E117" s="185"/>
      <c r="F117" s="185"/>
      <c r="G117" s="185"/>
      <c r="H117" s="186"/>
      <c r="I117" s="81">
        <f t="shared" si="1"/>
        <v>0</v>
      </c>
      <c r="J117" s="86"/>
      <c r="K117" s="80"/>
      <c r="L117" s="185"/>
      <c r="M117" s="431"/>
      <c r="N117" s="287" t="s">
        <v>1228</v>
      </c>
      <c r="O117" s="287">
        <v>1.0</v>
      </c>
      <c r="P117" s="412">
        <v>2.0</v>
      </c>
    </row>
    <row r="118">
      <c r="A118" s="107" t="s">
        <v>410</v>
      </c>
      <c r="B118" s="415" t="str">
        <f>HYPERLINK("http://codeforces.com/contest/363/problem/B","CF363-D2-B")</f>
        <v>CF363-D2-B</v>
      </c>
      <c r="C118" s="185"/>
      <c r="D118" s="185"/>
      <c r="E118" s="185"/>
      <c r="F118" s="185"/>
      <c r="G118" s="185"/>
      <c r="H118" s="186"/>
      <c r="I118" s="81">
        <f t="shared" si="1"/>
        <v>0</v>
      </c>
      <c r="J118" s="86"/>
      <c r="K118" s="80"/>
      <c r="L118" s="185"/>
      <c r="M118" s="418" t="str">
        <f>HYPERLINK("https://www.youtube.com/watch?v=uwbfFMVMYBg&amp;feature=youtu.be","Video Solution - Eng Muntaser Abukadeja")</f>
        <v>Video Solution - Eng Muntaser Abukadeja</v>
      </c>
      <c r="N118" s="287" t="s">
        <v>1234</v>
      </c>
      <c r="O118" s="287">
        <v>1.0</v>
      </c>
      <c r="P118" s="412">
        <v>2.0</v>
      </c>
    </row>
    <row r="119">
      <c r="A119" s="107" t="s">
        <v>464</v>
      </c>
      <c r="B119" s="415" t="str">
        <f>HYPERLINK("http://codeforces.com/contest/369/problem/B","CF369-D2-B")</f>
        <v>CF369-D2-B</v>
      </c>
      <c r="C119" s="185"/>
      <c r="D119" s="185"/>
      <c r="E119" s="185"/>
      <c r="F119" s="185"/>
      <c r="G119" s="185"/>
      <c r="H119" s="186"/>
      <c r="I119" s="81">
        <f t="shared" si="1"/>
        <v>0</v>
      </c>
      <c r="J119" s="86"/>
      <c r="K119" s="80"/>
      <c r="L119" s="185"/>
      <c r="M119" s="418" t="str">
        <f>HYPERLINK("https://www.youtube.com/watch?v=1CHX-WYiQvA","Video Solution - Eng Yahia Ashraf")</f>
        <v>Video Solution - Eng Yahia Ashraf</v>
      </c>
      <c r="N119" s="287" t="s">
        <v>1228</v>
      </c>
      <c r="O119" s="287">
        <v>1.0</v>
      </c>
      <c r="P119" s="412">
        <v>2.0</v>
      </c>
    </row>
    <row r="120">
      <c r="A120" s="107" t="s">
        <v>450</v>
      </c>
      <c r="B120" s="415" t="str">
        <f>HYPERLINK("http://codeforces.com/contest/514/problem/B","CF514-D2-B")</f>
        <v>CF514-D2-B</v>
      </c>
      <c r="C120" s="185"/>
      <c r="D120" s="185"/>
      <c r="E120" s="185"/>
      <c r="F120" s="185"/>
      <c r="G120" s="185"/>
      <c r="H120" s="186"/>
      <c r="I120" s="81">
        <f t="shared" si="1"/>
        <v>0</v>
      </c>
      <c r="J120" s="86"/>
      <c r="K120" s="80"/>
      <c r="L120" s="185"/>
      <c r="M120" s="431"/>
      <c r="N120" s="287" t="s">
        <v>1228</v>
      </c>
      <c r="O120" s="287">
        <v>1.0</v>
      </c>
      <c r="P120" s="412">
        <v>2.0</v>
      </c>
    </row>
    <row r="121">
      <c r="A121" s="107" t="s">
        <v>453</v>
      </c>
      <c r="B121" s="415" t="str">
        <f>HYPERLINK("http://codeforces.com/contest/520/problem/B","CF520-D2-B")</f>
        <v>CF520-D2-B</v>
      </c>
      <c r="C121" s="185"/>
      <c r="D121" s="185"/>
      <c r="E121" s="185"/>
      <c r="F121" s="185"/>
      <c r="G121" s="185"/>
      <c r="H121" s="186"/>
      <c r="I121" s="81">
        <f t="shared" si="1"/>
        <v>0</v>
      </c>
      <c r="J121" s="86"/>
      <c r="K121" s="80"/>
      <c r="L121" s="185"/>
      <c r="M121" s="418" t="str">
        <f>HYPERLINK("https://www.youtube.com/watch?v=tMsOxSRU4Sk","Video Solution - Solver to be (Java)")</f>
        <v>Video Solution - Solver to be (Java)</v>
      </c>
      <c r="N121" s="287" t="s">
        <v>1228</v>
      </c>
      <c r="O121" s="287">
        <v>1.0</v>
      </c>
      <c r="P121" s="412">
        <v>2.0</v>
      </c>
    </row>
    <row r="122">
      <c r="A122" s="107" t="s">
        <v>484</v>
      </c>
      <c r="B122" s="415" t="str">
        <f>HYPERLINK("http://codeforces.com/contest/535/problem/B","CF535-D2-B")</f>
        <v>CF535-D2-B</v>
      </c>
      <c r="C122" s="185"/>
      <c r="D122" s="185"/>
      <c r="E122" s="185"/>
      <c r="F122" s="185"/>
      <c r="G122" s="185"/>
      <c r="H122" s="186"/>
      <c r="I122" s="81">
        <f t="shared" si="1"/>
        <v>0</v>
      </c>
      <c r="J122" s="126"/>
      <c r="K122" s="125"/>
      <c r="L122" s="185"/>
      <c r="M122" s="418" t="str">
        <f>HYPERLINK("https://www.youtube.com/watch?v=NPVp5BntYZ4","Video Solution - Eng Abanob Ashraf")</f>
        <v>Video Solution - Eng Abanob Ashraf</v>
      </c>
      <c r="N122" s="287" t="s">
        <v>1228</v>
      </c>
      <c r="O122" s="287">
        <v>1.0</v>
      </c>
      <c r="P122" s="412">
        <v>2.0</v>
      </c>
    </row>
    <row r="123">
      <c r="A123" s="107" t="s">
        <v>466</v>
      </c>
      <c r="B123" s="415" t="str">
        <f>HYPERLINK("http://codeforces.com/contest/550/problem/B","CF550-D2-B")</f>
        <v>CF550-D2-B</v>
      </c>
      <c r="C123" s="185"/>
      <c r="D123" s="185"/>
      <c r="E123" s="185"/>
      <c r="F123" s="185"/>
      <c r="G123" s="185"/>
      <c r="H123" s="186"/>
      <c r="I123" s="81">
        <f t="shared" si="1"/>
        <v>0</v>
      </c>
      <c r="J123" s="86"/>
      <c r="K123" s="80"/>
      <c r="L123" s="86"/>
      <c r="M123" s="421" t="str">
        <f>HYPERLINK("https://www.youtube.com/watch?v=o5fKByvQguE","Video Solution - SolverToBe (Java)")</f>
        <v>Video Solution - SolverToBe (Java)</v>
      </c>
      <c r="N123" s="287" t="s">
        <v>1228</v>
      </c>
      <c r="O123" s="287">
        <v>1.0</v>
      </c>
      <c r="P123" s="412">
        <v>2.0</v>
      </c>
    </row>
    <row r="124">
      <c r="A124" s="107" t="s">
        <v>412</v>
      </c>
      <c r="B124" s="415" t="str">
        <f>HYPERLINK("http://codeforces.com/contest/688/problem/B","CF688-D2-B")</f>
        <v>CF688-D2-B</v>
      </c>
      <c r="C124" s="185"/>
      <c r="D124" s="185"/>
      <c r="E124" s="185"/>
      <c r="F124" s="185"/>
      <c r="G124" s="185"/>
      <c r="H124" s="186"/>
      <c r="I124" s="81">
        <f t="shared" si="1"/>
        <v>0</v>
      </c>
      <c r="J124" s="86"/>
      <c r="K124" s="80"/>
      <c r="L124" s="185"/>
      <c r="M124" s="418" t="str">
        <f>HYPERLINK("https://www.youtube.com/watch?v=sy_g77hnbaA","Video Solution - Solver to be (Java)")</f>
        <v>Video Solution - Solver to be (Java)</v>
      </c>
      <c r="N124" s="287" t="s">
        <v>1228</v>
      </c>
      <c r="O124" s="287">
        <v>1.0</v>
      </c>
      <c r="P124" s="412">
        <v>2.0</v>
      </c>
    </row>
    <row r="125">
      <c r="A125" s="107" t="s">
        <v>824</v>
      </c>
      <c r="B125" s="415" t="str">
        <f>HYPERLINK("http://codeforces.com/contest/719/problem/B","CF719-D2-B")</f>
        <v>CF719-D2-B</v>
      </c>
      <c r="C125" s="185"/>
      <c r="D125" s="185"/>
      <c r="E125" s="185"/>
      <c r="F125" s="185"/>
      <c r="G125" s="185"/>
      <c r="H125" s="186"/>
      <c r="I125" s="81">
        <f t="shared" si="1"/>
        <v>0</v>
      </c>
      <c r="J125" s="126"/>
      <c r="K125" s="125"/>
      <c r="L125" s="185"/>
      <c r="M125" s="424"/>
      <c r="N125" s="287" t="s">
        <v>1228</v>
      </c>
      <c r="O125" s="287">
        <v>1.0</v>
      </c>
      <c r="P125" s="412">
        <v>2.0</v>
      </c>
    </row>
    <row r="126">
      <c r="A126" s="107" t="s">
        <v>399</v>
      </c>
      <c r="B126" s="415" t="str">
        <f>HYPERLINK("http://codeforces.com/contest/746/problem/B","CF746-D2-B")</f>
        <v>CF746-D2-B</v>
      </c>
      <c r="C126" s="185"/>
      <c r="D126" s="185"/>
      <c r="E126" s="185"/>
      <c r="F126" s="185"/>
      <c r="G126" s="185"/>
      <c r="H126" s="186"/>
      <c r="I126" s="81">
        <f t="shared" si="1"/>
        <v>0</v>
      </c>
      <c r="J126" s="86"/>
      <c r="K126" s="80"/>
      <c r="L126" s="185"/>
      <c r="M126" s="418" t="str">
        <f>HYPERLINK("https://www.youtube.com/watch?v=FI5HvI9SQtA","Video Solution - Solver to be (Java)")</f>
        <v>Video Solution - Solver to be (Java)</v>
      </c>
      <c r="N126" s="287" t="s">
        <v>1228</v>
      </c>
      <c r="O126" s="287">
        <v>1.0</v>
      </c>
      <c r="P126" s="412">
        <v>2.0</v>
      </c>
      <c r="Q126" s="21" t="s">
        <v>1235</v>
      </c>
    </row>
    <row r="127">
      <c r="A127" s="107" t="s">
        <v>465</v>
      </c>
      <c r="B127" s="415" t="str">
        <f>HYPERLINK("http://codeforces.com/contest/791/problem/B","CF791-D2-B")</f>
        <v>CF791-D2-B</v>
      </c>
      <c r="C127" s="185"/>
      <c r="D127" s="185"/>
      <c r="E127" s="185"/>
      <c r="F127" s="185"/>
      <c r="G127" s="185"/>
      <c r="H127" s="186"/>
      <c r="I127" s="81">
        <f t="shared" si="1"/>
        <v>0</v>
      </c>
      <c r="J127" s="86"/>
      <c r="K127" s="80"/>
      <c r="L127" s="86"/>
      <c r="M127" s="418" t="str">
        <f>HYPERLINK("https://www.youtube.com/watch?v=3tVJoeUE0Ag&amp;feature=youtu.be","Video Solution - Eng Mohamed Salah")</f>
        <v>Video Solution - Eng Mohamed Salah</v>
      </c>
      <c r="N127" s="287" t="s">
        <v>1228</v>
      </c>
      <c r="O127" s="287">
        <v>1.0</v>
      </c>
      <c r="P127" s="412">
        <v>2.0</v>
      </c>
    </row>
    <row r="128">
      <c r="A128" s="107" t="s">
        <v>225</v>
      </c>
      <c r="B128" s="415" t="str">
        <f>HYPERLINK("http://codeforces.com/contest/88/problem/B","CF88-D2-B")</f>
        <v>CF88-D2-B</v>
      </c>
      <c r="C128" s="185"/>
      <c r="D128" s="185"/>
      <c r="E128" s="185"/>
      <c r="F128" s="185"/>
      <c r="G128" s="185"/>
      <c r="H128" s="186"/>
      <c r="I128" s="81">
        <f t="shared" si="1"/>
        <v>0</v>
      </c>
      <c r="J128" s="86"/>
      <c r="K128" s="80"/>
      <c r="L128" s="185"/>
      <c r="M128" s="418" t="str">
        <f>HYPERLINK("https://www.youtube.com/watch?v=IlM9o1-xgE4&amp;feature=youtu.be","Video Solution - Eng Muntaser Abukadeja")</f>
        <v>Video Solution - Eng Muntaser Abukadeja</v>
      </c>
      <c r="N128" s="287" t="s">
        <v>1228</v>
      </c>
      <c r="O128" s="287">
        <v>1.0</v>
      </c>
      <c r="P128" s="412">
        <v>2.0</v>
      </c>
      <c r="Q128" s="21" t="s">
        <v>1235</v>
      </c>
    </row>
    <row r="129">
      <c r="A129" s="107" t="s">
        <v>409</v>
      </c>
      <c r="B129" s="415" t="str">
        <f>HYPERLINK("http://codeforces.com/contest/433/problem/B","CF433-D2-B")</f>
        <v>CF433-D2-B</v>
      </c>
      <c r="C129" s="185"/>
      <c r="D129" s="185"/>
      <c r="E129" s="185"/>
      <c r="F129" s="185"/>
      <c r="G129" s="185"/>
      <c r="H129" s="186"/>
      <c r="I129" s="81">
        <f t="shared" si="1"/>
        <v>0</v>
      </c>
      <c r="J129" s="126"/>
      <c r="K129" s="125"/>
      <c r="L129" s="185"/>
      <c r="M129" s="431"/>
      <c r="N129" s="412" t="s">
        <v>1236</v>
      </c>
      <c r="O129" s="412">
        <v>1.0</v>
      </c>
      <c r="P129" s="287">
        <v>2.0</v>
      </c>
    </row>
    <row r="130">
      <c r="A130" s="107" t="s">
        <v>650</v>
      </c>
      <c r="B130" s="415" t="str">
        <f>HYPERLINK("http://codeforces.com/contest/610/problem/B","CF610-D2-B")</f>
        <v>CF610-D2-B</v>
      </c>
      <c r="C130" s="185"/>
      <c r="D130" s="185"/>
      <c r="E130" s="185"/>
      <c r="F130" s="185"/>
      <c r="G130" s="185"/>
      <c r="H130" s="186"/>
      <c r="I130" s="81">
        <f t="shared" si="1"/>
        <v>0</v>
      </c>
      <c r="J130" s="126"/>
      <c r="K130" s="125"/>
      <c r="L130" s="185"/>
      <c r="M130" s="246"/>
      <c r="N130" s="412" t="s">
        <v>1236</v>
      </c>
      <c r="O130" s="412">
        <v>1.0</v>
      </c>
      <c r="P130" s="287">
        <v>2.0</v>
      </c>
    </row>
    <row r="131">
      <c r="A131" s="107"/>
      <c r="B131" s="167" t="str">
        <f>HYPERLINK("https://codeforces.com/contest/1237/problem/B","CF1237-D12-B")</f>
        <v>CF1237-D12-B</v>
      </c>
      <c r="C131" s="185"/>
      <c r="D131" s="185"/>
      <c r="E131" s="185"/>
      <c r="F131" s="185"/>
      <c r="G131" s="185"/>
      <c r="H131" s="186"/>
      <c r="I131" s="81">
        <f t="shared" si="1"/>
        <v>0</v>
      </c>
      <c r="J131" s="126"/>
      <c r="K131" s="125"/>
      <c r="L131" s="185"/>
      <c r="M131" s="246"/>
      <c r="N131" s="412" t="s">
        <v>1236</v>
      </c>
      <c r="O131" s="412">
        <v>1.0</v>
      </c>
      <c r="P131" s="287">
        <v>3.0</v>
      </c>
      <c r="Q131" s="21" t="s">
        <v>1237</v>
      </c>
    </row>
    <row r="132">
      <c r="A132" s="107" t="s">
        <v>738</v>
      </c>
      <c r="B132" s="415" t="str">
        <f>HYPERLINK("http://codeforces.com/contest/740/problem/C","CF740-D2-C")</f>
        <v>CF740-D2-C</v>
      </c>
      <c r="C132" s="185"/>
      <c r="D132" s="185"/>
      <c r="E132" s="185"/>
      <c r="F132" s="185"/>
      <c r="G132" s="185"/>
      <c r="H132" s="186"/>
      <c r="I132" s="81">
        <f t="shared" si="1"/>
        <v>0</v>
      </c>
      <c r="J132" s="86"/>
      <c r="K132" s="80"/>
      <c r="L132" s="185"/>
      <c r="M132" s="418" t="str">
        <f>HYPERLINK("https://www.youtube.com/watch?v=yDt7GWiPeV4","Video Solution - Dr Mostafa Saad")</f>
        <v>Video Solution - Dr Mostafa Saad</v>
      </c>
      <c r="N132" s="412" t="s">
        <v>1238</v>
      </c>
      <c r="O132" s="412">
        <v>1.0</v>
      </c>
      <c r="P132" s="412">
        <v>3.0</v>
      </c>
      <c r="Q132" s="21" t="s">
        <v>1235</v>
      </c>
    </row>
    <row r="133">
      <c r="A133" s="107"/>
      <c r="B133" s="415" t="str">
        <f>HYPERLINK("https://uva.onlinejudge.org/index.php?option=onlinejudge&amp;page=show_problem&amp;problem=1994","UVA 11053")</f>
        <v>UVA 11053</v>
      </c>
      <c r="C133" s="185"/>
      <c r="D133" s="185"/>
      <c r="E133" s="185"/>
      <c r="F133" s="185"/>
      <c r="G133" s="185"/>
      <c r="H133" s="186"/>
      <c r="I133" s="81">
        <f t="shared" si="1"/>
        <v>0</v>
      </c>
      <c r="J133" s="86"/>
      <c r="K133" s="80"/>
      <c r="L133" s="185"/>
      <c r="M133" s="432" t="str">
        <f>HYPERLINK("https://en.wikipedia.org/wiki/Cycle_detection#Floyd.27s_Tortoise_and_Hare","Find O(n) Solution")</f>
        <v>Find O(n) Solution</v>
      </c>
      <c r="N133" s="412" t="s">
        <v>1239</v>
      </c>
      <c r="O133" s="412">
        <v>1.0</v>
      </c>
      <c r="P133" s="412">
        <v>3.0</v>
      </c>
      <c r="Q133" s="21" t="s">
        <v>1231</v>
      </c>
    </row>
    <row r="134">
      <c r="A134" s="293" t="s">
        <v>752</v>
      </c>
      <c r="B134" s="415" t="str">
        <f>HYPERLINK("http://codeforces.com/contest/816/problem/B","CF816-D2-B")</f>
        <v>CF816-D2-B</v>
      </c>
      <c r="C134" s="185"/>
      <c r="D134" s="185"/>
      <c r="E134" s="185"/>
      <c r="F134" s="185"/>
      <c r="G134" s="185"/>
      <c r="H134" s="186"/>
      <c r="I134" s="81">
        <f t="shared" si="1"/>
        <v>0</v>
      </c>
      <c r="J134" s="126"/>
      <c r="K134" s="125"/>
      <c r="L134" s="185"/>
      <c r="M134" s="246"/>
      <c r="N134" s="412" t="s">
        <v>1236</v>
      </c>
      <c r="O134" s="412">
        <v>1.0</v>
      </c>
      <c r="P134" s="287">
        <v>4.0</v>
      </c>
      <c r="Q134" s="21" t="s">
        <v>1240</v>
      </c>
    </row>
    <row r="135">
      <c r="A135" s="107"/>
      <c r="B135" s="415" t="str">
        <f>HYPERLINK("http://codeforces.com/contest/1043/problem/C","CF1043-D12-C")</f>
        <v>CF1043-D12-C</v>
      </c>
      <c r="C135" s="185"/>
      <c r="D135" s="185"/>
      <c r="E135" s="185"/>
      <c r="F135" s="185"/>
      <c r="G135" s="185"/>
      <c r="H135" s="186"/>
      <c r="I135" s="81">
        <f t="shared" si="1"/>
        <v>0</v>
      </c>
      <c r="J135" s="126"/>
      <c r="K135" s="125"/>
      <c r="L135" s="185"/>
      <c r="M135" s="107"/>
      <c r="N135" s="412" t="s">
        <v>1238</v>
      </c>
      <c r="O135" s="412">
        <v>1.0</v>
      </c>
      <c r="P135" s="412">
        <v>4.0</v>
      </c>
      <c r="Q135" s="21" t="s">
        <v>1237</v>
      </c>
    </row>
    <row r="136">
      <c r="A136" s="107"/>
      <c r="B136" s="415" t="str">
        <f>HYPERLINK("http://codeforces.com/contest/1075/problem/C","CF1075-D2-C")</f>
        <v>CF1075-D2-C</v>
      </c>
      <c r="C136" s="185"/>
      <c r="D136" s="185"/>
      <c r="E136" s="185"/>
      <c r="F136" s="185"/>
      <c r="G136" s="185"/>
      <c r="H136" s="186"/>
      <c r="I136" s="81">
        <f t="shared" si="1"/>
        <v>0</v>
      </c>
      <c r="J136" s="86"/>
      <c r="K136" s="80"/>
      <c r="L136" s="120"/>
      <c r="M136" s="433"/>
      <c r="N136" s="412" t="s">
        <v>1241</v>
      </c>
      <c r="O136" s="412">
        <v>1.0</v>
      </c>
      <c r="P136" s="412">
        <v>4.0</v>
      </c>
      <c r="Q136" s="21" t="s">
        <v>1237</v>
      </c>
    </row>
    <row r="137">
      <c r="A137" s="107"/>
      <c r="B137" s="167" t="str">
        <f>HYPERLINK("https://codeforces.com/contest/1237/problem/C2","CF1237-D12-C2")</f>
        <v>CF1237-D12-C2</v>
      </c>
      <c r="C137" s="185"/>
      <c r="D137" s="185"/>
      <c r="E137" s="185"/>
      <c r="F137" s="185"/>
      <c r="G137" s="185"/>
      <c r="H137" s="186"/>
      <c r="I137" s="81">
        <f t="shared" si="1"/>
        <v>0</v>
      </c>
      <c r="J137" s="86"/>
      <c r="K137" s="80"/>
      <c r="L137" s="120"/>
      <c r="M137" s="433"/>
      <c r="N137" s="412" t="s">
        <v>1238</v>
      </c>
      <c r="O137" s="412">
        <v>1.0</v>
      </c>
      <c r="P137" s="412">
        <v>4.0</v>
      </c>
      <c r="Q137" s="21" t="s">
        <v>1237</v>
      </c>
    </row>
    <row r="138">
      <c r="A138" s="107" t="s">
        <v>823</v>
      </c>
      <c r="B138" s="415" t="str">
        <f>HYPERLINK("http://codeforces.com/contest/776/problem/C","CF776-D2-C")</f>
        <v>CF776-D2-C</v>
      </c>
      <c r="C138" s="185"/>
      <c r="D138" s="185"/>
      <c r="E138" s="185"/>
      <c r="F138" s="185"/>
      <c r="G138" s="185"/>
      <c r="H138" s="186"/>
      <c r="I138" s="81">
        <f t="shared" si="1"/>
        <v>0</v>
      </c>
      <c r="J138" s="126"/>
      <c r="K138" s="125"/>
      <c r="L138" s="185"/>
      <c r="M138" s="424" t="str">
        <f>HYPERLINK("https://www.youtube.com/watch?v=5roeMaM3T3Y","Video Solution - Solver to be (Java)")</f>
        <v>Video Solution - Solver to be (Java)</v>
      </c>
      <c r="N138" s="412" t="s">
        <v>1229</v>
      </c>
      <c r="O138" s="412">
        <v>1.0</v>
      </c>
      <c r="P138" s="412">
        <v>4.0</v>
      </c>
      <c r="Q138" s="21" t="s">
        <v>1235</v>
      </c>
    </row>
    <row r="139">
      <c r="A139" s="107" t="s">
        <v>794</v>
      </c>
      <c r="B139" s="415" t="str">
        <f>HYPERLINK("http://codeforces.com/contest/466/problem/C","CF466-D2-C")</f>
        <v>CF466-D2-C</v>
      </c>
      <c r="C139" s="185"/>
      <c r="D139" s="185"/>
      <c r="E139" s="185"/>
      <c r="F139" s="185"/>
      <c r="G139" s="185"/>
      <c r="H139" s="186"/>
      <c r="I139" s="81">
        <f t="shared" si="1"/>
        <v>0</v>
      </c>
      <c r="J139" s="86"/>
      <c r="K139" s="80"/>
      <c r="L139" s="185"/>
      <c r="M139" s="418" t="str">
        <f>HYPERLINK("https://www.youtube.com/watch?v=8G06-YDc2-I","Video Solution - Solver to be (Java)")</f>
        <v>Video Solution - Solver to be (Java)</v>
      </c>
      <c r="N139" s="412" t="s">
        <v>1229</v>
      </c>
      <c r="O139" s="412">
        <v>1.0</v>
      </c>
      <c r="P139" s="412">
        <v>4.0</v>
      </c>
      <c r="Q139" s="21" t="s">
        <v>1235</v>
      </c>
    </row>
    <row r="140">
      <c r="A140" s="107"/>
      <c r="B140" s="107" t="s">
        <v>789</v>
      </c>
      <c r="C140" s="185"/>
      <c r="D140" s="185"/>
      <c r="E140" s="185"/>
      <c r="F140" s="185"/>
      <c r="G140" s="185"/>
      <c r="H140" s="186"/>
      <c r="I140" s="81">
        <f t="shared" si="1"/>
        <v>0</v>
      </c>
      <c r="J140" s="86"/>
      <c r="K140" s="80"/>
      <c r="L140" s="185"/>
      <c r="M140" s="432" t="str">
        <f>HYPERLINK("https://github.com/mostafa-saad/MyCompetitiveProgramming/blob/master/SPOJ/SPOJ_TWINSNOW.txt","Sol - text clarification")</f>
        <v>Sol - text clarification</v>
      </c>
      <c r="N140" s="412" t="s">
        <v>1242</v>
      </c>
      <c r="O140" s="412">
        <v>1.0</v>
      </c>
      <c r="P140" s="412">
        <v>4.0</v>
      </c>
      <c r="Q140" s="21" t="s">
        <v>1231</v>
      </c>
    </row>
    <row r="141">
      <c r="A141" s="107"/>
      <c r="B141" s="107" t="s">
        <v>656</v>
      </c>
      <c r="C141" s="185"/>
      <c r="D141" s="185"/>
      <c r="E141" s="185"/>
      <c r="F141" s="185"/>
      <c r="G141" s="185"/>
      <c r="H141" s="186"/>
      <c r="I141" s="81">
        <f t="shared" si="1"/>
        <v>0</v>
      </c>
      <c r="J141" s="86"/>
      <c r="K141" s="80"/>
      <c r="L141" s="185"/>
      <c r="M141" s="256" t="s">
        <v>625</v>
      </c>
      <c r="N141" s="412" t="s">
        <v>1243</v>
      </c>
      <c r="O141" s="412">
        <v>1.0</v>
      </c>
      <c r="P141" s="412">
        <v>4.0</v>
      </c>
      <c r="Q141" s="21" t="s">
        <v>1231</v>
      </c>
    </row>
    <row r="142">
      <c r="A142" s="107"/>
      <c r="B142" s="107" t="s">
        <v>736</v>
      </c>
      <c r="C142" s="185"/>
      <c r="D142" s="185"/>
      <c r="E142" s="185"/>
      <c r="F142" s="185"/>
      <c r="G142" s="185"/>
      <c r="H142" s="186"/>
      <c r="I142" s="81">
        <f t="shared" si="1"/>
        <v>0</v>
      </c>
      <c r="J142" s="120"/>
      <c r="K142" s="185"/>
      <c r="L142" s="185"/>
      <c r="M142" s="430"/>
      <c r="N142" s="412" t="s">
        <v>1244</v>
      </c>
      <c r="O142" s="412">
        <v>1.0</v>
      </c>
      <c r="P142" s="412">
        <v>4.0</v>
      </c>
      <c r="Q142" s="21" t="s">
        <v>1231</v>
      </c>
    </row>
    <row r="143">
      <c r="A143" s="107" t="s">
        <v>1058</v>
      </c>
      <c r="B143" s="415" t="str">
        <f>HYPERLINK("http://codeforces.com/contest/194/problem/C","CF194-D2-C")</f>
        <v>CF194-D2-C</v>
      </c>
      <c r="C143" s="185"/>
      <c r="D143" s="185"/>
      <c r="E143" s="185"/>
      <c r="F143" s="185"/>
      <c r="G143" s="185"/>
      <c r="H143" s="186"/>
      <c r="I143" s="81">
        <f t="shared" si="1"/>
        <v>0</v>
      </c>
      <c r="J143" s="126"/>
      <c r="K143" s="125"/>
      <c r="L143" s="185"/>
      <c r="M143" s="107"/>
      <c r="N143" s="412" t="s">
        <v>1229</v>
      </c>
      <c r="O143" s="412">
        <v>1.0</v>
      </c>
      <c r="P143" s="412">
        <v>4.0</v>
      </c>
    </row>
    <row r="144">
      <c r="A144" s="107" t="s">
        <v>681</v>
      </c>
      <c r="B144" s="415" t="str">
        <f>HYPERLINK("http://codeforces.com/contest/822/problem/C","CF822-D2-C")</f>
        <v>CF822-D2-C</v>
      </c>
      <c r="C144" s="185"/>
      <c r="D144" s="185"/>
      <c r="E144" s="185"/>
      <c r="F144" s="185"/>
      <c r="G144" s="185"/>
      <c r="H144" s="186"/>
      <c r="I144" s="81">
        <f t="shared" si="1"/>
        <v>0</v>
      </c>
      <c r="J144" s="86"/>
      <c r="K144" s="80"/>
      <c r="L144" s="185"/>
      <c r="M144" s="418" t="str">
        <f>HYPERLINK("https://www.youtube.com/watch?v=VvR9spazigA","Video Solution - Solver to be (Java)")</f>
        <v>Video Solution - Solver to be (Java)</v>
      </c>
      <c r="N144" s="412" t="s">
        <v>1229</v>
      </c>
      <c r="O144" s="412">
        <v>1.0</v>
      </c>
      <c r="P144" s="412">
        <v>4.0</v>
      </c>
    </row>
    <row r="145">
      <c r="A145" s="107" t="s">
        <v>588</v>
      </c>
      <c r="B145" s="415" t="str">
        <f>HYPERLINK("http://codeforces.com/contest/296/problem/C","CF296-D2-C")</f>
        <v>CF296-D2-C</v>
      </c>
      <c r="C145" s="185"/>
      <c r="D145" s="185"/>
      <c r="E145" s="185"/>
      <c r="F145" s="185"/>
      <c r="G145" s="185"/>
      <c r="H145" s="186"/>
      <c r="I145" s="81">
        <f t="shared" si="1"/>
        <v>0</v>
      </c>
      <c r="J145" s="126"/>
      <c r="K145" s="125"/>
      <c r="L145" s="185"/>
      <c r="M145" s="431"/>
      <c r="N145" s="412" t="s">
        <v>1236</v>
      </c>
      <c r="O145" s="412">
        <v>1.0</v>
      </c>
      <c r="P145" s="412">
        <v>4.0</v>
      </c>
    </row>
    <row r="146">
      <c r="A146" s="107"/>
      <c r="B146" s="415" t="str">
        <f>HYPERLINK("https://codeforces.com/contest/1066/problem/E","CF1066-D3-E")</f>
        <v>CF1066-D3-E</v>
      </c>
      <c r="C146" s="185"/>
      <c r="D146" s="185"/>
      <c r="E146" s="185"/>
      <c r="F146" s="185"/>
      <c r="G146" s="185"/>
      <c r="H146" s="186"/>
      <c r="I146" s="81">
        <f t="shared" si="1"/>
        <v>0</v>
      </c>
      <c r="J146" s="126"/>
      <c r="K146" s="125"/>
      <c r="L146" s="185"/>
      <c r="M146" s="107"/>
      <c r="N146" s="412" t="s">
        <v>1245</v>
      </c>
      <c r="O146" s="412">
        <v>1.0</v>
      </c>
      <c r="P146" s="412">
        <v>4.25</v>
      </c>
      <c r="Q146" s="21" t="s">
        <v>1237</v>
      </c>
    </row>
    <row r="147">
      <c r="A147" s="192" t="s">
        <v>744</v>
      </c>
      <c r="B147" s="95" t="str">
        <f>HYPERLINK("https://codeforces.com/contest/1206/problem/C","CF1206-D2-C")</f>
        <v>CF1206-D2-C</v>
      </c>
      <c r="C147" s="185"/>
      <c r="D147" s="185"/>
      <c r="E147" s="185"/>
      <c r="F147" s="185"/>
      <c r="G147" s="185"/>
      <c r="H147" s="186"/>
      <c r="I147" s="81">
        <f t="shared" si="1"/>
        <v>0</v>
      </c>
      <c r="J147" s="86"/>
      <c r="K147" s="80"/>
      <c r="L147" s="50"/>
      <c r="M147" s="106" t="str">
        <f>HYPERLINK("https://www.youtube.com/watch?v=7D-8VO66OF8","Video Solution - Dr Mostafa Saad")</f>
        <v>Video Solution - Dr Mostafa Saad</v>
      </c>
      <c r="N147" s="412" t="s">
        <v>1238</v>
      </c>
      <c r="O147" s="412">
        <v>1.0</v>
      </c>
      <c r="P147" s="412">
        <v>4.25</v>
      </c>
      <c r="Q147" s="21" t="s">
        <v>1237</v>
      </c>
    </row>
    <row r="148">
      <c r="A148" s="107" t="s">
        <v>912</v>
      </c>
      <c r="B148" s="415" t="str">
        <f>HYPERLINK("http://codeforces.com/contest/189/problem/C","CF189-D2-C")</f>
        <v>CF189-D2-C</v>
      </c>
      <c r="C148" s="185"/>
      <c r="D148" s="185"/>
      <c r="E148" s="185"/>
      <c r="F148" s="185"/>
      <c r="G148" s="185"/>
      <c r="H148" s="186"/>
      <c r="I148" s="81">
        <f t="shared" si="1"/>
        <v>0</v>
      </c>
      <c r="J148" s="86"/>
      <c r="K148" s="80"/>
      <c r="L148" s="434"/>
      <c r="M148" s="321" t="str">
        <f>HYPERLINK("https://github.com/MedoN11/CompetitiveProgramming/blob/master/CodeForces/CF189-D1-C.cpp","Sol")</f>
        <v>Sol</v>
      </c>
      <c r="N148" s="412" t="s">
        <v>1229</v>
      </c>
      <c r="O148" s="412">
        <v>1.0</v>
      </c>
      <c r="P148" s="412">
        <v>4.5</v>
      </c>
      <c r="Q148" s="21"/>
    </row>
    <row r="149">
      <c r="A149" s="107"/>
      <c r="B149" s="107" t="s">
        <v>657</v>
      </c>
      <c r="C149" s="185"/>
      <c r="D149" s="185"/>
      <c r="E149" s="185"/>
      <c r="F149" s="185"/>
      <c r="G149" s="185"/>
      <c r="H149" s="186"/>
      <c r="I149" s="81">
        <f t="shared" si="1"/>
        <v>0</v>
      </c>
      <c r="J149" s="86"/>
      <c r="K149" s="80"/>
      <c r="L149" s="185"/>
      <c r="M149" s="257"/>
      <c r="N149" s="412" t="s">
        <v>1246</v>
      </c>
      <c r="O149" s="412">
        <v>1.0</v>
      </c>
      <c r="P149" s="412">
        <v>4.5</v>
      </c>
      <c r="Q149" s="21" t="s">
        <v>1235</v>
      </c>
    </row>
    <row r="150">
      <c r="A150" s="107" t="s">
        <v>905</v>
      </c>
      <c r="B150" s="415" t="str">
        <f>HYPERLINK("http://codeforces.com/contest/808/problem/D","CF808-D2-D")</f>
        <v>CF808-D2-D</v>
      </c>
      <c r="C150" s="185"/>
      <c r="D150" s="185"/>
      <c r="E150" s="185"/>
      <c r="F150" s="185"/>
      <c r="G150" s="185"/>
      <c r="H150" s="186"/>
      <c r="I150" s="81">
        <f t="shared" si="1"/>
        <v>0</v>
      </c>
      <c r="J150" s="86"/>
      <c r="K150" s="80"/>
      <c r="L150" s="185"/>
      <c r="M150" s="418" t="str">
        <f>HYPERLINK("https://www.youtube.com/watch?v=wL0s8xIQYbk","Video Solution - Solver to be (Java)")</f>
        <v>Video Solution - Solver to be (Java)</v>
      </c>
      <c r="N150" s="412" t="s">
        <v>1247</v>
      </c>
      <c r="O150" s="412">
        <v>1.0</v>
      </c>
      <c r="P150" s="412">
        <v>4.5</v>
      </c>
      <c r="Q150" s="21" t="s">
        <v>1231</v>
      </c>
    </row>
    <row r="151">
      <c r="A151" s="107" t="s">
        <v>769</v>
      </c>
      <c r="B151" s="415" t="str">
        <f>HYPERLINK("http://codeforces.com/contest/124/problem/C","CF124-D2-C")</f>
        <v>CF124-D2-C</v>
      </c>
      <c r="C151" s="185"/>
      <c r="D151" s="185"/>
      <c r="E151" s="185"/>
      <c r="F151" s="185"/>
      <c r="G151" s="185"/>
      <c r="H151" s="186"/>
      <c r="I151" s="81">
        <f t="shared" si="1"/>
        <v>0</v>
      </c>
      <c r="J151" s="126"/>
      <c r="K151" s="125"/>
      <c r="L151" s="120"/>
      <c r="M151" s="431"/>
      <c r="N151" s="412" t="s">
        <v>1238</v>
      </c>
      <c r="O151" s="412">
        <v>1.0</v>
      </c>
      <c r="P151" s="412">
        <v>4.5</v>
      </c>
    </row>
    <row r="152">
      <c r="A152" s="107" t="s">
        <v>774</v>
      </c>
      <c r="B152" s="415" t="str">
        <f>HYPERLINK("http://codeforces.com/contest/195/problem/C","CF195-D2-C")</f>
        <v>CF195-D2-C</v>
      </c>
      <c r="C152" s="185"/>
      <c r="D152" s="185"/>
      <c r="E152" s="185"/>
      <c r="F152" s="185"/>
      <c r="G152" s="185"/>
      <c r="H152" s="186"/>
      <c r="I152" s="81">
        <f t="shared" si="1"/>
        <v>0</v>
      </c>
      <c r="J152" s="86"/>
      <c r="K152" s="80"/>
      <c r="L152" s="120"/>
      <c r="M152" s="418" t="str">
        <f>HYPERLINK("https://github.com/mostafa-saad/MyCompetitiveProgramming/blob/master/Codeforces/CF195-D2-C-Ahmed%20Osama.pdf","Editorial - Eng Ahmed Osama")</f>
        <v>Editorial - Eng Ahmed Osama</v>
      </c>
      <c r="N152" s="412" t="s">
        <v>1248</v>
      </c>
      <c r="O152" s="412">
        <v>1.0</v>
      </c>
      <c r="P152" s="412">
        <v>4.5</v>
      </c>
    </row>
    <row r="153">
      <c r="A153" s="107" t="s">
        <v>1114</v>
      </c>
      <c r="B153" s="415" t="str">
        <f>HYPERLINK("http://codeforces.com/contest/59/problem/C","CF59-D2-C")</f>
        <v>CF59-D2-C</v>
      </c>
      <c r="C153" s="185"/>
      <c r="D153" s="185"/>
      <c r="E153" s="185"/>
      <c r="F153" s="185"/>
      <c r="G153" s="185"/>
      <c r="H153" s="186"/>
      <c r="I153" s="81">
        <f t="shared" si="1"/>
        <v>0</v>
      </c>
      <c r="J153" s="126"/>
      <c r="K153" s="125"/>
      <c r="L153" s="434"/>
      <c r="M153" s="430"/>
      <c r="N153" s="412" t="s">
        <v>1248</v>
      </c>
      <c r="O153" s="412">
        <v>1.0</v>
      </c>
      <c r="P153" s="412">
        <v>4.5</v>
      </c>
    </row>
    <row r="154">
      <c r="A154" s="107"/>
      <c r="B154" s="415" t="str">
        <f>HYPERLINK("http://codeforces.com/contest/309/problem/C","CF309-D1-C")</f>
        <v>CF309-D1-C</v>
      </c>
      <c r="C154" s="185"/>
      <c r="D154" s="185"/>
      <c r="E154" s="185"/>
      <c r="F154" s="185"/>
      <c r="G154" s="185"/>
      <c r="H154" s="186"/>
      <c r="I154" s="81">
        <f t="shared" si="1"/>
        <v>0</v>
      </c>
      <c r="J154" s="86"/>
      <c r="K154" s="80"/>
      <c r="L154" s="185"/>
      <c r="M154" s="290"/>
      <c r="N154" s="412" t="s">
        <v>1249</v>
      </c>
      <c r="O154" s="412">
        <v>1.0</v>
      </c>
      <c r="P154" s="412">
        <v>5.0</v>
      </c>
      <c r="Q154" s="21" t="s">
        <v>1237</v>
      </c>
    </row>
    <row r="155">
      <c r="A155" s="107"/>
      <c r="B155" s="107" t="s">
        <v>902</v>
      </c>
      <c r="C155" s="185"/>
      <c r="D155" s="185"/>
      <c r="E155" s="185"/>
      <c r="F155" s="185"/>
      <c r="G155" s="185"/>
      <c r="H155" s="186"/>
      <c r="I155" s="81">
        <f t="shared" si="1"/>
        <v>0</v>
      </c>
      <c r="J155" s="86"/>
      <c r="K155" s="80"/>
      <c r="L155" s="185"/>
      <c r="M155" s="107"/>
      <c r="N155" s="412" t="s">
        <v>1250</v>
      </c>
      <c r="O155" s="412">
        <v>1.0</v>
      </c>
      <c r="P155" s="412">
        <v>5.0</v>
      </c>
      <c r="Q155" s="21" t="s">
        <v>1237</v>
      </c>
    </row>
    <row r="156">
      <c r="A156" s="107" t="s">
        <v>1192</v>
      </c>
      <c r="B156" s="415" t="str">
        <f>HYPERLINK("http://codeforces.com/contest/122/problem/D","CF122-D2-D")</f>
        <v>CF122-D2-D</v>
      </c>
      <c r="C156" s="185"/>
      <c r="D156" s="185"/>
      <c r="E156" s="185"/>
      <c r="F156" s="185"/>
      <c r="G156" s="185"/>
      <c r="H156" s="186"/>
      <c r="I156" s="81">
        <f t="shared" si="1"/>
        <v>0</v>
      </c>
      <c r="J156" s="86"/>
      <c r="K156" s="80"/>
      <c r="L156" s="434"/>
      <c r="M156" s="435"/>
      <c r="N156" s="412" t="s">
        <v>1251</v>
      </c>
      <c r="O156" s="412">
        <v>1.0</v>
      </c>
      <c r="P156" s="412">
        <v>5.0</v>
      </c>
      <c r="Q156" s="21" t="s">
        <v>1237</v>
      </c>
    </row>
    <row r="157">
      <c r="A157" s="107"/>
      <c r="B157" s="107" t="s">
        <v>1033</v>
      </c>
      <c r="C157" s="185"/>
      <c r="D157" s="185"/>
      <c r="E157" s="185"/>
      <c r="F157" s="185"/>
      <c r="G157" s="185"/>
      <c r="H157" s="186"/>
      <c r="I157" s="81">
        <f t="shared" si="1"/>
        <v>0</v>
      </c>
      <c r="J157" s="120"/>
      <c r="K157" s="185"/>
      <c r="L157" s="434"/>
      <c r="M157" s="432" t="str">
        <f>HYPERLINK("https://github.com/mostafa-saad/MyCompetitiveProgramming/blob/master/SPOJ/SPOJ_PARSUMS.txt","Sol")</f>
        <v>Sol</v>
      </c>
      <c r="N157" s="412" t="s">
        <v>1252</v>
      </c>
      <c r="O157" s="412">
        <v>1.0</v>
      </c>
      <c r="P157" s="412">
        <v>5.0</v>
      </c>
      <c r="Q157" s="21" t="s">
        <v>1235</v>
      </c>
    </row>
    <row r="158">
      <c r="A158" s="107"/>
      <c r="B158" s="415" t="str">
        <f>HYPERLINK("https://www.codechef.com/LTIME64B/problems/OPPOSITE" , "CODECHEF OPPOSITE")</f>
        <v>CODECHEF OPPOSITE</v>
      </c>
      <c r="C158" s="185"/>
      <c r="D158" s="185"/>
      <c r="E158" s="185"/>
      <c r="F158" s="185"/>
      <c r="G158" s="185"/>
      <c r="H158" s="186"/>
      <c r="I158" s="81">
        <f t="shared" si="1"/>
        <v>0</v>
      </c>
      <c r="J158" s="86"/>
      <c r="K158" s="80"/>
      <c r="L158" s="185"/>
      <c r="M158" s="433"/>
      <c r="N158" s="412" t="s">
        <v>1229</v>
      </c>
      <c r="O158" s="412">
        <v>1.0</v>
      </c>
      <c r="P158" s="412">
        <v>5.0</v>
      </c>
      <c r="Q158" s="21" t="s">
        <v>1235</v>
      </c>
    </row>
    <row r="159">
      <c r="A159" s="107"/>
      <c r="B159" s="107" t="s">
        <v>831</v>
      </c>
      <c r="C159" s="185"/>
      <c r="D159" s="185"/>
      <c r="E159" s="185"/>
      <c r="F159" s="185"/>
      <c r="G159" s="185"/>
      <c r="H159" s="186"/>
      <c r="I159" s="81">
        <f t="shared" si="1"/>
        <v>0</v>
      </c>
      <c r="J159" s="126"/>
      <c r="K159" s="125"/>
      <c r="L159" s="185"/>
      <c r="M159" s="412" t="s">
        <v>832</v>
      </c>
      <c r="N159" s="412" t="s">
        <v>1253</v>
      </c>
      <c r="O159" s="412">
        <v>1.0</v>
      </c>
      <c r="P159" s="412">
        <v>5.0</v>
      </c>
      <c r="Q159" s="21" t="s">
        <v>1235</v>
      </c>
    </row>
    <row r="160">
      <c r="A160" s="107" t="s">
        <v>1165</v>
      </c>
      <c r="B160" s="415" t="str">
        <f>HYPERLINK("http://codeforces.com/contest/298/problem/D","CF298-D2-D")</f>
        <v>CF298-D2-D</v>
      </c>
      <c r="C160" s="185"/>
      <c r="D160" s="185"/>
      <c r="E160" s="185"/>
      <c r="F160" s="185"/>
      <c r="G160" s="185"/>
      <c r="H160" s="186"/>
      <c r="I160" s="81">
        <f t="shared" si="1"/>
        <v>0</v>
      </c>
      <c r="J160" s="86"/>
      <c r="K160" s="80"/>
      <c r="L160" s="434"/>
      <c r="M160" s="430"/>
      <c r="N160" s="412" t="s">
        <v>1229</v>
      </c>
      <c r="O160" s="412">
        <v>1.0</v>
      </c>
      <c r="P160" s="412">
        <v>5.0</v>
      </c>
    </row>
    <row r="161">
      <c r="A161" s="107" t="s">
        <v>876</v>
      </c>
      <c r="B161" s="415" t="str">
        <f>HYPERLINK("http://codeforces.com/contest/63/problem/D","CF63-D2-D")</f>
        <v>CF63-D2-D</v>
      </c>
      <c r="C161" s="185"/>
      <c r="D161" s="185"/>
      <c r="E161" s="185"/>
      <c r="F161" s="185"/>
      <c r="G161" s="185"/>
      <c r="H161" s="186"/>
      <c r="I161" s="81">
        <f t="shared" si="1"/>
        <v>0</v>
      </c>
      <c r="J161" s="120"/>
      <c r="K161" s="185"/>
      <c r="L161" s="185"/>
      <c r="M161" s="430"/>
      <c r="N161" s="412" t="s">
        <v>1229</v>
      </c>
      <c r="O161" s="412">
        <v>1.0</v>
      </c>
      <c r="P161" s="412">
        <v>5.0</v>
      </c>
    </row>
    <row r="162">
      <c r="A162" s="107" t="s">
        <v>755</v>
      </c>
      <c r="B162" s="415" t="str">
        <f>HYPERLINK("http://codeforces.com/contest/591/problem/C","CF591-D2-C")</f>
        <v>CF591-D2-C</v>
      </c>
      <c r="C162" s="185"/>
      <c r="D162" s="185"/>
      <c r="E162" s="185"/>
      <c r="F162" s="185"/>
      <c r="G162" s="185"/>
      <c r="H162" s="186"/>
      <c r="I162" s="81">
        <f t="shared" si="1"/>
        <v>0</v>
      </c>
      <c r="J162" s="86"/>
      <c r="K162" s="80"/>
      <c r="L162" s="120"/>
      <c r="M162" s="415" t="str">
        <f>HYPERLINK("https://codeforces.com/blog/entry/21203","Editorial")</f>
        <v>Editorial</v>
      </c>
      <c r="N162" s="412" t="s">
        <v>1254</v>
      </c>
      <c r="O162" s="412">
        <v>1.0</v>
      </c>
      <c r="P162" s="412">
        <v>5.0</v>
      </c>
    </row>
    <row r="163">
      <c r="A163" s="107"/>
      <c r="B163" s="415" t="str">
        <f>HYPERLINK("http://codeforces.com/contest/23/problem/C","CF23-D12-C")</f>
        <v>CF23-D12-C</v>
      </c>
      <c r="C163" s="185"/>
      <c r="D163" s="185"/>
      <c r="E163" s="185"/>
      <c r="F163" s="185"/>
      <c r="G163" s="185"/>
      <c r="H163" s="186"/>
      <c r="I163" s="81">
        <f t="shared" si="1"/>
        <v>0</v>
      </c>
      <c r="J163" s="126"/>
      <c r="K163" s="125"/>
      <c r="L163" s="185"/>
      <c r="M163" s="195"/>
      <c r="N163" s="412" t="s">
        <v>1255</v>
      </c>
      <c r="O163" s="412">
        <v>1.0</v>
      </c>
      <c r="P163" s="412">
        <v>5.25</v>
      </c>
      <c r="Q163" s="21" t="s">
        <v>1237</v>
      </c>
    </row>
    <row r="164">
      <c r="A164" s="107"/>
      <c r="B164" s="415" t="str">
        <f>HYPERLINK("http://codeforces.com/gym/101589/problem/F","CF101589-GYM-F")</f>
        <v>CF101589-GYM-F</v>
      </c>
      <c r="C164" s="185"/>
      <c r="D164" s="185"/>
      <c r="E164" s="185"/>
      <c r="F164" s="185"/>
      <c r="G164" s="185"/>
      <c r="H164" s="186"/>
      <c r="I164" s="81">
        <f t="shared" si="1"/>
        <v>0</v>
      </c>
      <c r="J164" s="126"/>
      <c r="K164" s="125"/>
      <c r="L164" s="185"/>
      <c r="M164" s="321" t="str">
        <f>HYPERLINK("https://github.com/SpeedOfMagic/CompetitiveProgramming/blob/master/CodeforcesGym/CF101589-GYM-F.cpp","Sol")</f>
        <v>Sol</v>
      </c>
      <c r="N164" s="412" t="s">
        <v>1229</v>
      </c>
      <c r="O164" s="412">
        <v>1.0</v>
      </c>
      <c r="P164" s="412">
        <v>5.75</v>
      </c>
    </row>
    <row r="165">
      <c r="A165" s="107"/>
      <c r="B165" s="415" t="str">
        <f>HYPERLINK("https://beta.atcoder.jp/contests/arc092/tasks/arc092_b","Atcoder092-ARC-B")</f>
        <v>Atcoder092-ARC-B</v>
      </c>
      <c r="C165" s="185"/>
      <c r="D165" s="185"/>
      <c r="E165" s="185"/>
      <c r="F165" s="185"/>
      <c r="G165" s="185"/>
      <c r="H165" s="186"/>
      <c r="I165" s="81">
        <f t="shared" si="1"/>
        <v>0</v>
      </c>
      <c r="J165" s="126"/>
      <c r="K165" s="125"/>
      <c r="L165" s="185"/>
      <c r="M165" s="107"/>
      <c r="N165" s="412" t="s">
        <v>1256</v>
      </c>
      <c r="O165" s="412">
        <v>1.0</v>
      </c>
      <c r="P165" s="412">
        <v>6.0</v>
      </c>
      <c r="Q165" s="21" t="s">
        <v>1237</v>
      </c>
    </row>
    <row r="166">
      <c r="A166" s="107" t="s">
        <v>607</v>
      </c>
      <c r="B166" s="415" t="str">
        <f>HYPERLINK("https://uva.onlinejudge.org/index.php?option=com_onlinejudge&amp;Itemid=8&amp;page=show_problem&amp;problem=1285","UVA 10344")</f>
        <v>UVA 10344</v>
      </c>
      <c r="C166" s="185"/>
      <c r="D166" s="185"/>
      <c r="E166" s="185"/>
      <c r="F166" s="185"/>
      <c r="G166" s="185"/>
      <c r="H166" s="186"/>
      <c r="I166" s="81">
        <f t="shared" si="1"/>
        <v>0</v>
      </c>
      <c r="J166" s="86"/>
      <c r="K166" s="80"/>
      <c r="L166" s="185"/>
      <c r="M166" s="427" t="str">
        <f>HYPERLINK("https://www.youtube.com/watch?v=WX7rIgcgnBs","Video Solution - Eng Mohamed Nasser")</f>
        <v>Video Solution - Eng Mohamed Nasser</v>
      </c>
      <c r="N166" s="412" t="s">
        <v>1257</v>
      </c>
      <c r="O166" s="412">
        <v>2.0</v>
      </c>
      <c r="P166" s="412">
        <v>2.0</v>
      </c>
    </row>
    <row r="167">
      <c r="A167" s="107" t="s">
        <v>608</v>
      </c>
      <c r="B167" s="415" t="str">
        <f>HYPERLINK("https://uva.onlinejudge.org/index.php?option=com_onlinejudge&amp;Itemid=8&amp;page=show_problem&amp;problem=691","UVA 750")</f>
        <v>UVA 750</v>
      </c>
      <c r="C167" s="185"/>
      <c r="D167" s="185"/>
      <c r="E167" s="185"/>
      <c r="F167" s="185"/>
      <c r="G167" s="185"/>
      <c r="H167" s="186"/>
      <c r="I167" s="81">
        <f t="shared" si="1"/>
        <v>0</v>
      </c>
      <c r="J167" s="86"/>
      <c r="K167" s="80"/>
      <c r="L167" s="185"/>
      <c r="M167" s="427" t="str">
        <f>HYPERLINK("https://www.youtube.com/watch?v=3jMlUYEVgL0","Video Solution - Eng Ayman Salah")</f>
        <v>Video Solution - Eng Ayman Salah</v>
      </c>
      <c r="N167" s="412" t="s">
        <v>1257</v>
      </c>
      <c r="O167" s="412">
        <v>2.0</v>
      </c>
      <c r="P167" s="412">
        <v>4.0</v>
      </c>
    </row>
    <row r="168">
      <c r="A168" s="107" t="s">
        <v>606</v>
      </c>
      <c r="B168" s="415" t="str">
        <f>HYPERLINK("https://uva.onlinejudge.org/index.php?option=com_onlinejudge&amp;Itemid=8&amp;page=show_problem&amp;problem=129","UVA 193")</f>
        <v>UVA 193</v>
      </c>
      <c r="C168" s="185"/>
      <c r="D168" s="185"/>
      <c r="E168" s="185"/>
      <c r="F168" s="185"/>
      <c r="G168" s="185"/>
      <c r="H168" s="186"/>
      <c r="I168" s="81">
        <f t="shared" si="1"/>
        <v>0</v>
      </c>
      <c r="J168" s="86"/>
      <c r="K168" s="80"/>
      <c r="L168" s="185"/>
      <c r="M168" s="427" t="str">
        <f>HYPERLINK("https://www.youtube.com/watch?v=0hOK2hgqNE4","Video Solution - Dr Mostafa Saad")</f>
        <v>Video Solution - Dr Mostafa Saad</v>
      </c>
      <c r="N168" s="412" t="s">
        <v>1258</v>
      </c>
      <c r="O168" s="412">
        <v>2.0</v>
      </c>
      <c r="P168" s="412">
        <v>4.0</v>
      </c>
    </row>
    <row r="169">
      <c r="A169" s="107" t="s">
        <v>973</v>
      </c>
      <c r="B169" s="415" t="str">
        <f>HYPERLINK("http://codeforces.com/contest/47/problem/D","CF47-D2-D")</f>
        <v>CF47-D2-D</v>
      </c>
      <c r="C169" s="185"/>
      <c r="D169" s="185"/>
      <c r="E169" s="185"/>
      <c r="F169" s="185"/>
      <c r="G169" s="185"/>
      <c r="H169" s="186"/>
      <c r="I169" s="81">
        <f t="shared" si="1"/>
        <v>0</v>
      </c>
      <c r="J169" s="120"/>
      <c r="K169" s="185"/>
      <c r="L169" s="185"/>
      <c r="M169" s="431"/>
      <c r="N169" s="412" t="s">
        <v>1259</v>
      </c>
      <c r="O169" s="412">
        <v>2.0</v>
      </c>
      <c r="P169" s="412">
        <v>5.0</v>
      </c>
      <c r="Q169" s="21" t="s">
        <v>1237</v>
      </c>
    </row>
    <row r="170">
      <c r="A170" s="107" t="s">
        <v>1025</v>
      </c>
      <c r="B170" s="415" t="str">
        <f>HYPERLINK("https://uva.onlinejudge.org/index.php?option=com_onlinejudge&amp;Itemid=8&amp;page=show_problem&amp;problem=999","UVA 10058")</f>
        <v>UVA 10058</v>
      </c>
      <c r="C170" s="185"/>
      <c r="D170" s="185"/>
      <c r="E170" s="185"/>
      <c r="F170" s="185"/>
      <c r="G170" s="185"/>
      <c r="H170" s="186"/>
      <c r="I170" s="81">
        <f t="shared" si="1"/>
        <v>0</v>
      </c>
      <c r="J170" s="86"/>
      <c r="K170" s="80"/>
      <c r="L170" s="434"/>
      <c r="M170" s="432" t="str">
        <f>HYPERLINK("https://github.com/ackoroa/UVa-Solutions/blob/master/UVa%2010058%20-%20Jimmi's%20Riddles/src/Main.java","Sol")</f>
        <v>Sol</v>
      </c>
      <c r="N170" s="412" t="s">
        <v>1260</v>
      </c>
      <c r="O170" s="412">
        <v>3.0</v>
      </c>
      <c r="P170" s="412">
        <v>4.0</v>
      </c>
      <c r="Q170" s="21" t="s">
        <v>1237</v>
      </c>
    </row>
    <row r="171">
      <c r="A171" s="107" t="s">
        <v>1118</v>
      </c>
      <c r="B171" s="415" t="str">
        <f>HYPERLINK("https://uva.onlinejudge.org/index.php?option=onlinejudge&amp;page=show_problem&amp;problem=563","UVA 622")</f>
        <v>UVA 622</v>
      </c>
      <c r="C171" s="185"/>
      <c r="D171" s="185"/>
      <c r="E171" s="185"/>
      <c r="F171" s="185"/>
      <c r="G171" s="185"/>
      <c r="H171" s="186"/>
      <c r="I171" s="81">
        <f t="shared" si="1"/>
        <v>0</v>
      </c>
      <c r="J171" s="86"/>
      <c r="K171" s="80"/>
      <c r="L171" s="434"/>
      <c r="M171" s="321" t="str">
        <f>HYPERLINK("https://github.com/mostafa-saad/MyCompetitiveProgramming/blob/master/UVA/622.cpp","Sol")</f>
        <v>Sol</v>
      </c>
      <c r="N171" s="412" t="s">
        <v>1261</v>
      </c>
      <c r="O171" s="412">
        <v>3.0</v>
      </c>
      <c r="P171" s="412">
        <v>5.0</v>
      </c>
      <c r="Q171" s="21" t="s">
        <v>1262</v>
      </c>
    </row>
    <row r="172">
      <c r="A172" s="107" t="s">
        <v>256</v>
      </c>
      <c r="B172" s="415" t="str">
        <f>HYPERLINK("http://codeforces.com/contest/143/problem/A","CF143-D2-A")</f>
        <v>CF143-D2-A</v>
      </c>
      <c r="C172" s="185"/>
      <c r="D172" s="185"/>
      <c r="E172" s="185"/>
      <c r="F172" s="185"/>
      <c r="G172" s="185"/>
      <c r="H172" s="186"/>
      <c r="I172" s="81">
        <f t="shared" si="1"/>
        <v>0</v>
      </c>
      <c r="J172" s="160"/>
      <c r="K172" s="80"/>
      <c r="L172" s="160"/>
      <c r="M172" s="421" t="str">
        <f>HYPERLINK("https://www.youtube.com/watch?v=cmMkGSMHTKE","Video Solution - Eng John Gamal")</f>
        <v>Video Solution - Eng John Gamal</v>
      </c>
      <c r="N172" s="412" t="s">
        <v>1263</v>
      </c>
      <c r="O172" s="412">
        <v>5.0</v>
      </c>
      <c r="P172" s="287">
        <v>1.5</v>
      </c>
    </row>
    <row r="173">
      <c r="A173" s="107" t="s">
        <v>1264</v>
      </c>
      <c r="B173" s="415" t="str">
        <f>HYPERLINK("http://codeforces.com/contest/560/problem/B","CF560-D2-B")</f>
        <v>CF560-D2-B</v>
      </c>
      <c r="C173" s="185"/>
      <c r="D173" s="185"/>
      <c r="E173" s="185"/>
      <c r="F173" s="185"/>
      <c r="G173" s="185"/>
      <c r="H173" s="186"/>
      <c r="I173" s="81">
        <f t="shared" si="1"/>
        <v>0</v>
      </c>
      <c r="J173" s="126"/>
      <c r="K173" s="125"/>
      <c r="L173" s="185"/>
      <c r="M173" s="424"/>
      <c r="N173" s="412" t="s">
        <v>1263</v>
      </c>
      <c r="O173" s="412">
        <v>5.0</v>
      </c>
      <c r="P173" s="287">
        <v>2.0</v>
      </c>
    </row>
    <row r="174">
      <c r="A174" s="107" t="s">
        <v>617</v>
      </c>
      <c r="B174" s="415" t="str">
        <f>HYPERLINK("http://codeforces.com/contest/570/problem/B","CF570-D2-B")</f>
        <v>CF570-D2-B</v>
      </c>
      <c r="C174" s="185"/>
      <c r="D174" s="185"/>
      <c r="E174" s="185"/>
      <c r="F174" s="185"/>
      <c r="G174" s="185"/>
      <c r="H174" s="186"/>
      <c r="I174" s="81">
        <f t="shared" si="1"/>
        <v>0</v>
      </c>
      <c r="J174" s="86"/>
      <c r="K174" s="80"/>
      <c r="L174" s="185"/>
      <c r="M174" s="428"/>
      <c r="N174" s="412" t="s">
        <v>1263</v>
      </c>
      <c r="O174" s="412">
        <v>5.0</v>
      </c>
      <c r="P174" s="287">
        <v>2.0</v>
      </c>
    </row>
    <row r="175">
      <c r="A175" s="107" t="s">
        <v>426</v>
      </c>
      <c r="B175" s="415" t="str">
        <f>HYPERLINK("http://codeforces.com/contest/129/problem/B","CF129-D2-B")</f>
        <v>CF129-D2-B</v>
      </c>
      <c r="C175" s="185"/>
      <c r="D175" s="185"/>
      <c r="E175" s="185"/>
      <c r="F175" s="185"/>
      <c r="G175" s="185"/>
      <c r="H175" s="186"/>
      <c r="I175" s="81">
        <f t="shared" si="1"/>
        <v>0</v>
      </c>
      <c r="J175" s="86"/>
      <c r="K175" s="80"/>
      <c r="L175" s="185"/>
      <c r="M175" s="418" t="str">
        <f>HYPERLINK("https://www.youtube.com/watch?v=si51JINxbpk&amp;feature=youtu.be","Video Solution - Eng Abanob Ashraf")</f>
        <v>Video Solution - Eng Abanob Ashraf</v>
      </c>
      <c r="N175" s="287" t="s">
        <v>1263</v>
      </c>
      <c r="O175" s="287">
        <v>5.0</v>
      </c>
      <c r="P175" s="412">
        <v>2.0</v>
      </c>
    </row>
    <row r="176">
      <c r="A176" s="107" t="s">
        <v>745</v>
      </c>
      <c r="B176" s="415" t="str">
        <f>HYPERLINK("http://codeforces.com/contest/430/problem/B","CF430-D2-B")</f>
        <v>CF430-D2-B</v>
      </c>
      <c r="C176" s="185"/>
      <c r="D176" s="185"/>
      <c r="E176" s="185"/>
      <c r="F176" s="185"/>
      <c r="G176" s="185"/>
      <c r="H176" s="186"/>
      <c r="I176" s="81">
        <f t="shared" si="1"/>
        <v>0</v>
      </c>
      <c r="J176" s="86"/>
      <c r="K176" s="80"/>
      <c r="L176" s="185"/>
      <c r="M176" s="436"/>
      <c r="N176" s="412" t="s">
        <v>1265</v>
      </c>
      <c r="O176" s="412">
        <v>5.0</v>
      </c>
      <c r="P176" s="287">
        <v>3.0</v>
      </c>
      <c r="Q176" s="21" t="s">
        <v>1235</v>
      </c>
    </row>
    <row r="177">
      <c r="A177" s="107" t="s">
        <v>672</v>
      </c>
      <c r="B177" s="415" t="str">
        <f>HYPERLINK("http://codeforces.com/contest/189/problem/A","CF189-D2-A")</f>
        <v>CF189-D2-A</v>
      </c>
      <c r="C177" s="185"/>
      <c r="D177" s="185"/>
      <c r="E177" s="185"/>
      <c r="F177" s="185"/>
      <c r="G177" s="185"/>
      <c r="H177" s="186"/>
      <c r="I177" s="81">
        <f t="shared" si="1"/>
        <v>0</v>
      </c>
      <c r="J177" s="86"/>
      <c r="K177" s="80"/>
      <c r="L177" s="185"/>
      <c r="M177" s="418" t="str">
        <f>HYPERLINK("https://www.youtube.com/watch?v=4VBt8sKocyw","Video Solution - Solver to be (Java)")</f>
        <v>Video Solution - Solver to be (Java)</v>
      </c>
      <c r="N177" s="412" t="s">
        <v>1263</v>
      </c>
      <c r="O177" s="412">
        <v>5.0</v>
      </c>
      <c r="P177" s="412">
        <v>3.0</v>
      </c>
    </row>
    <row r="178">
      <c r="A178" s="107" t="s">
        <v>599</v>
      </c>
      <c r="B178" s="415" t="str">
        <f>HYPERLINK("http://codeforces.com/contest/402/problem/C","CF402-D2-C")</f>
        <v>CF402-D2-C</v>
      </c>
      <c r="C178" s="185"/>
      <c r="D178" s="185"/>
      <c r="E178" s="185"/>
      <c r="F178" s="185"/>
      <c r="G178" s="185"/>
      <c r="H178" s="186"/>
      <c r="I178" s="81">
        <f t="shared" si="1"/>
        <v>0</v>
      </c>
      <c r="J178" s="86"/>
      <c r="K178" s="80"/>
      <c r="L178" s="185"/>
      <c r="M178" s="428"/>
      <c r="N178" s="412" t="s">
        <v>1266</v>
      </c>
      <c r="O178" s="412">
        <v>5.0</v>
      </c>
      <c r="P178" s="412">
        <v>3.0</v>
      </c>
    </row>
    <row r="179">
      <c r="A179" s="107" t="s">
        <v>753</v>
      </c>
      <c r="B179" s="415" t="str">
        <f>HYPERLINK("http://codeforces.com/contest/63/problem/C","CF63-D2-C")</f>
        <v>CF63-D2-C</v>
      </c>
      <c r="C179" s="185"/>
      <c r="D179" s="185"/>
      <c r="E179" s="185"/>
      <c r="F179" s="185"/>
      <c r="G179" s="185"/>
      <c r="H179" s="186"/>
      <c r="I179" s="81">
        <f t="shared" si="1"/>
        <v>0</v>
      </c>
      <c r="J179" s="86"/>
      <c r="K179" s="80"/>
      <c r="L179" s="120"/>
      <c r="M179" s="432" t="str">
        <f>HYPERLINK("https://github.com/ilyesG/Competitive-Programming/blob/master/CodeForces/CF63-D2-C.cpp","Sol")</f>
        <v>Sol</v>
      </c>
      <c r="N179" s="412" t="s">
        <v>1267</v>
      </c>
      <c r="O179" s="412">
        <v>5.0</v>
      </c>
      <c r="P179" s="412">
        <v>4.0</v>
      </c>
      <c r="Q179" s="21" t="s">
        <v>1235</v>
      </c>
    </row>
    <row r="180">
      <c r="A180" s="107" t="s">
        <v>1113</v>
      </c>
      <c r="B180" s="415" t="str">
        <f>HYPERLINK("http://codeforces.com/contest/255/problem/C","CF255-D2-C")</f>
        <v>CF255-D2-C</v>
      </c>
      <c r="C180" s="185"/>
      <c r="D180" s="185"/>
      <c r="E180" s="185"/>
      <c r="F180" s="185"/>
      <c r="G180" s="185"/>
      <c r="H180" s="186"/>
      <c r="I180" s="81">
        <f t="shared" si="1"/>
        <v>0</v>
      </c>
      <c r="J180" s="126"/>
      <c r="K180" s="125"/>
      <c r="L180" s="434"/>
      <c r="M180" s="430"/>
      <c r="N180" s="412" t="s">
        <v>1263</v>
      </c>
      <c r="O180" s="412">
        <v>5.0</v>
      </c>
      <c r="P180" s="412">
        <v>4.0</v>
      </c>
    </row>
    <row r="181">
      <c r="A181" s="107" t="s">
        <v>875</v>
      </c>
      <c r="B181" s="415" t="str">
        <f>HYPERLINK("http://codeforces.com/contest/118/problem/C","CF118-D2-C")</f>
        <v>CF118-D2-C</v>
      </c>
      <c r="C181" s="185"/>
      <c r="D181" s="185"/>
      <c r="E181" s="185"/>
      <c r="F181" s="185"/>
      <c r="G181" s="185"/>
      <c r="H181" s="186"/>
      <c r="I181" s="81">
        <f t="shared" si="1"/>
        <v>0</v>
      </c>
      <c r="J181" s="86"/>
      <c r="K181" s="80"/>
      <c r="L181" s="185"/>
      <c r="M181" s="257"/>
      <c r="N181" s="412" t="s">
        <v>1268</v>
      </c>
      <c r="O181" s="412">
        <v>5.0</v>
      </c>
      <c r="P181" s="412">
        <v>4.0</v>
      </c>
    </row>
    <row r="182">
      <c r="A182" s="107" t="s">
        <v>857</v>
      </c>
      <c r="B182" s="415" t="str">
        <f>HYPERLINK("http://codeforces.com/contest/672/problem/C","CF672-D2-C")</f>
        <v>CF672-D2-C</v>
      </c>
      <c r="C182" s="185"/>
      <c r="D182" s="185"/>
      <c r="E182" s="185"/>
      <c r="F182" s="185"/>
      <c r="G182" s="185"/>
      <c r="H182" s="186"/>
      <c r="I182" s="81">
        <f t="shared" si="1"/>
        <v>0</v>
      </c>
      <c r="J182" s="86"/>
      <c r="K182" s="80"/>
      <c r="L182" s="185"/>
      <c r="M182" s="257"/>
      <c r="N182" s="412" t="s">
        <v>1268</v>
      </c>
      <c r="O182" s="412">
        <v>5.0</v>
      </c>
      <c r="P182" s="412">
        <v>4.0</v>
      </c>
    </row>
    <row r="183">
      <c r="A183" s="107" t="s">
        <v>979</v>
      </c>
      <c r="B183" s="415" t="str">
        <f>HYPERLINK("http://codeforces.com/contest/439/problem/C","CF439-D2-C")</f>
        <v>CF439-D2-C</v>
      </c>
      <c r="C183" s="185"/>
      <c r="D183" s="185"/>
      <c r="E183" s="185"/>
      <c r="F183" s="185"/>
      <c r="G183" s="185"/>
      <c r="H183" s="186"/>
      <c r="I183" s="81">
        <f t="shared" si="1"/>
        <v>0</v>
      </c>
      <c r="J183" s="126"/>
      <c r="K183" s="125"/>
      <c r="L183" s="185"/>
      <c r="M183" s="424"/>
      <c r="N183" s="412" t="s">
        <v>1269</v>
      </c>
      <c r="O183" s="412">
        <v>5.0</v>
      </c>
      <c r="P183" s="412">
        <v>4.0</v>
      </c>
    </row>
    <row r="184">
      <c r="A184" s="107" t="s">
        <v>1018</v>
      </c>
      <c r="B184" s="415" t="str">
        <f>HYPERLINK("http://codeforces.com/contest/200/problem/C","CF200-D2-C")</f>
        <v>CF200-D2-C</v>
      </c>
      <c r="C184" s="185"/>
      <c r="D184" s="185"/>
      <c r="E184" s="185"/>
      <c r="F184" s="185"/>
      <c r="G184" s="185"/>
      <c r="H184" s="186"/>
      <c r="I184" s="81">
        <f t="shared" si="1"/>
        <v>0</v>
      </c>
      <c r="J184" s="86"/>
      <c r="K184" s="80"/>
      <c r="L184" s="185"/>
      <c r="M184" s="107"/>
      <c r="N184" s="412" t="s">
        <v>1267</v>
      </c>
      <c r="O184" s="412">
        <v>5.0</v>
      </c>
      <c r="P184" s="412">
        <v>4.0</v>
      </c>
    </row>
    <row r="185">
      <c r="A185" s="107" t="s">
        <v>724</v>
      </c>
      <c r="B185" s="415" t="str">
        <f>HYPERLINK("http://codeforces.com/contest/368/problem/C","CF368-D2-C")</f>
        <v>CF368-D2-C</v>
      </c>
      <c r="C185" s="185"/>
      <c r="D185" s="185"/>
      <c r="E185" s="185"/>
      <c r="F185" s="185"/>
      <c r="G185" s="185"/>
      <c r="H185" s="186"/>
      <c r="I185" s="81">
        <f t="shared" si="1"/>
        <v>0</v>
      </c>
      <c r="J185" s="86"/>
      <c r="K185" s="80"/>
      <c r="L185" s="185"/>
      <c r="M185" s="428"/>
      <c r="N185" s="412" t="s">
        <v>1267</v>
      </c>
      <c r="O185" s="412">
        <v>5.0</v>
      </c>
      <c r="P185" s="412">
        <v>4.0</v>
      </c>
    </row>
    <row r="186">
      <c r="A186" s="107" t="s">
        <v>980</v>
      </c>
      <c r="B186" s="415" t="str">
        <f>HYPERLINK("http://codeforces.com/contest/557/problem/C","CF557-D2-C")</f>
        <v>CF557-D2-C</v>
      </c>
      <c r="C186" s="185"/>
      <c r="D186" s="185"/>
      <c r="E186" s="185"/>
      <c r="F186" s="185"/>
      <c r="G186" s="185"/>
      <c r="H186" s="186"/>
      <c r="I186" s="81">
        <f t="shared" si="1"/>
        <v>0</v>
      </c>
      <c r="J186" s="126"/>
      <c r="K186" s="125"/>
      <c r="L186" s="185"/>
      <c r="M186" s="424"/>
      <c r="N186" s="412" t="s">
        <v>1270</v>
      </c>
      <c r="O186" s="412">
        <v>5.0</v>
      </c>
      <c r="P186" s="412">
        <v>4.5</v>
      </c>
      <c r="Q186" s="21"/>
    </row>
    <row r="187">
      <c r="A187" s="107"/>
      <c r="B187" s="415" t="str">
        <f>HYPERLINK("http://codeforces.com/contest/1036/problem/C","CF1036-D2-C")</f>
        <v>CF1036-D2-C</v>
      </c>
      <c r="C187" s="185"/>
      <c r="D187" s="185"/>
      <c r="E187" s="185"/>
      <c r="F187" s="185"/>
      <c r="G187" s="185"/>
      <c r="H187" s="186"/>
      <c r="I187" s="81">
        <f t="shared" si="1"/>
        <v>0</v>
      </c>
      <c r="J187" s="86"/>
      <c r="K187" s="80"/>
      <c r="L187" s="185"/>
      <c r="M187" s="436"/>
      <c r="N187" s="412" t="s">
        <v>1271</v>
      </c>
      <c r="O187" s="412">
        <v>5.0</v>
      </c>
      <c r="P187" s="412">
        <v>4.5</v>
      </c>
      <c r="Q187" s="21" t="s">
        <v>1235</v>
      </c>
    </row>
    <row r="188">
      <c r="A188" s="107" t="s">
        <v>845</v>
      </c>
      <c r="B188" s="415" t="str">
        <f>HYPERLINK("http://codeforces.com/contest/365/problem/C","CF365-D2-C")</f>
        <v>CF365-D2-C</v>
      </c>
      <c r="C188" s="185"/>
      <c r="D188" s="185"/>
      <c r="E188" s="185"/>
      <c r="F188" s="185"/>
      <c r="G188" s="185"/>
      <c r="H188" s="186"/>
      <c r="I188" s="81">
        <f t="shared" si="1"/>
        <v>0</v>
      </c>
      <c r="J188" s="86"/>
      <c r="K188" s="80"/>
      <c r="L188" s="185"/>
      <c r="M188" s="257"/>
      <c r="N188" s="412" t="s">
        <v>1272</v>
      </c>
      <c r="O188" s="412">
        <v>5.0</v>
      </c>
      <c r="P188" s="412">
        <v>4.5</v>
      </c>
      <c r="Q188" s="21" t="s">
        <v>1231</v>
      </c>
    </row>
    <row r="189">
      <c r="A189" s="107" t="s">
        <v>647</v>
      </c>
      <c r="B189" s="415" t="str">
        <f>HYPERLINK("http://codeforces.com/contest/496/problem/C","CF496-D2-C")</f>
        <v>CF496-D2-C</v>
      </c>
      <c r="C189" s="185"/>
      <c r="D189" s="185"/>
      <c r="E189" s="185"/>
      <c r="F189" s="185"/>
      <c r="G189" s="185"/>
      <c r="H189" s="186"/>
      <c r="I189" s="81">
        <f t="shared" si="1"/>
        <v>0</v>
      </c>
      <c r="J189" s="86"/>
      <c r="K189" s="80"/>
      <c r="L189" s="185"/>
      <c r="M189" s="437" t="str">
        <f>HYPERLINK("https://www.youtube.com/watch?v=skSCRsMLPMI","Video Solution - Dr Mostafa Saad")</f>
        <v>Video Solution - Dr Mostafa Saad</v>
      </c>
      <c r="N189" s="412" t="s">
        <v>1263</v>
      </c>
      <c r="O189" s="412">
        <v>5.0</v>
      </c>
      <c r="P189" s="412">
        <v>4.5</v>
      </c>
    </row>
    <row r="190">
      <c r="A190" s="107"/>
      <c r="B190" s="107" t="s">
        <v>1129</v>
      </c>
      <c r="C190" s="185"/>
      <c r="D190" s="185"/>
      <c r="E190" s="185"/>
      <c r="F190" s="185"/>
      <c r="G190" s="185"/>
      <c r="H190" s="186"/>
      <c r="I190" s="81">
        <f t="shared" si="1"/>
        <v>0</v>
      </c>
      <c r="J190" s="120"/>
      <c r="K190" s="185"/>
      <c r="L190" s="434"/>
      <c r="M190" s="435"/>
      <c r="N190" s="412" t="s">
        <v>1273</v>
      </c>
      <c r="O190" s="412">
        <v>5.0</v>
      </c>
      <c r="P190" s="412">
        <v>5.0</v>
      </c>
      <c r="Q190" s="21" t="s">
        <v>1237</v>
      </c>
    </row>
    <row r="191">
      <c r="A191" s="107"/>
      <c r="B191" s="107" t="s">
        <v>924</v>
      </c>
      <c r="C191" s="185"/>
      <c r="D191" s="185"/>
      <c r="E191" s="185"/>
      <c r="F191" s="185"/>
      <c r="G191" s="185"/>
      <c r="H191" s="186"/>
      <c r="I191" s="81">
        <f t="shared" si="1"/>
        <v>0</v>
      </c>
      <c r="J191" s="126"/>
      <c r="K191" s="125"/>
      <c r="L191" s="185"/>
      <c r="M191" s="321" t="str">
        <f>HYPERLINK("https://github.com/ilyesG/Competitive-Programming/blob/master/UVA/UVA%2010705.cpp","Sol")</f>
        <v>Sol</v>
      </c>
      <c r="N191" s="412" t="s">
        <v>1274</v>
      </c>
      <c r="O191" s="412">
        <v>5.0</v>
      </c>
      <c r="P191" s="412">
        <v>5.0</v>
      </c>
      <c r="Q191" s="21" t="s">
        <v>1237</v>
      </c>
    </row>
    <row r="192">
      <c r="A192" s="107" t="s">
        <v>1136</v>
      </c>
      <c r="B192" s="415" t="str">
        <f>HYPERLINK("http://codeforces.com/contest/146/problem/D","CF146-D2-D")</f>
        <v>CF146-D2-D</v>
      </c>
      <c r="C192" s="185"/>
      <c r="D192" s="185"/>
      <c r="E192" s="185"/>
      <c r="F192" s="185"/>
      <c r="G192" s="185"/>
      <c r="H192" s="186"/>
      <c r="I192" s="81">
        <f t="shared" si="1"/>
        <v>0</v>
      </c>
      <c r="J192" s="126"/>
      <c r="K192" s="125"/>
      <c r="L192" s="434"/>
      <c r="M192" s="430"/>
      <c r="N192" s="412" t="s">
        <v>1275</v>
      </c>
      <c r="O192" s="412">
        <v>5.0</v>
      </c>
      <c r="P192" s="412">
        <v>5.0</v>
      </c>
      <c r="Q192" s="21" t="s">
        <v>1235</v>
      </c>
    </row>
    <row r="193">
      <c r="A193" s="107" t="s">
        <v>1041</v>
      </c>
      <c r="B193" s="415" t="str">
        <f>HYPERLINK("http://codeforces.com/contest/361/problem/C","CF361-D2-C")</f>
        <v>CF361-D2-C</v>
      </c>
      <c r="C193" s="185"/>
      <c r="D193" s="185"/>
      <c r="E193" s="185"/>
      <c r="F193" s="185"/>
      <c r="G193" s="185"/>
      <c r="H193" s="186"/>
      <c r="I193" s="81">
        <f t="shared" si="1"/>
        <v>0</v>
      </c>
      <c r="J193" s="126"/>
      <c r="K193" s="125"/>
      <c r="L193" s="185"/>
      <c r="M193" s="430"/>
      <c r="N193" s="412" t="s">
        <v>1268</v>
      </c>
      <c r="O193" s="412">
        <v>5.0</v>
      </c>
      <c r="P193" s="412">
        <v>5.0</v>
      </c>
      <c r="Q193" s="21" t="s">
        <v>1235</v>
      </c>
    </row>
    <row r="194">
      <c r="A194" s="107"/>
      <c r="B194" s="415" t="str">
        <f>HYPERLINK("http://codeforces.com/problemset/problem/1017/D","CF1017-D12-D")</f>
        <v>CF1017-D12-D</v>
      </c>
      <c r="C194" s="185"/>
      <c r="D194" s="185"/>
      <c r="E194" s="185"/>
      <c r="F194" s="185"/>
      <c r="G194" s="185"/>
      <c r="H194" s="186"/>
      <c r="I194" s="81">
        <f t="shared" si="1"/>
        <v>0</v>
      </c>
      <c r="J194" s="86"/>
      <c r="K194" s="80"/>
      <c r="L194" s="434"/>
      <c r="M194" s="430"/>
      <c r="N194" s="412" t="s">
        <v>1276</v>
      </c>
      <c r="O194" s="412">
        <v>5.0</v>
      </c>
      <c r="P194" s="412">
        <v>5.5</v>
      </c>
      <c r="Q194" s="21" t="s">
        <v>1237</v>
      </c>
    </row>
    <row r="195">
      <c r="A195" s="107"/>
      <c r="B195" s="415" t="str">
        <f>HYPERLINK("http://codeforces.com/contest/621/problem/D","CF621-D2-D")</f>
        <v>CF621-D2-D</v>
      </c>
      <c r="C195" s="185"/>
      <c r="D195" s="185"/>
      <c r="E195" s="185"/>
      <c r="F195" s="185"/>
      <c r="G195" s="185"/>
      <c r="H195" s="186"/>
      <c r="I195" s="81">
        <f t="shared" si="1"/>
        <v>0</v>
      </c>
      <c r="J195" s="126"/>
      <c r="K195" s="125"/>
      <c r="L195" s="185"/>
      <c r="M195" s="321" t="str">
        <f>HYPERLINK("https://github.com/MedoN11/CompetitiveProgramming/blob/master/CodeForces/CF621-D2-D-Complex.cpp","Sol")</f>
        <v>Sol</v>
      </c>
      <c r="N195" s="412" t="s">
        <v>1277</v>
      </c>
      <c r="O195" s="412">
        <v>5.0</v>
      </c>
      <c r="P195" s="412">
        <v>5.5</v>
      </c>
      <c r="Q195" s="21" t="s">
        <v>1235</v>
      </c>
    </row>
    <row r="196">
      <c r="A196" s="107"/>
      <c r="B196" s="107" t="s">
        <v>907</v>
      </c>
      <c r="C196" s="185"/>
      <c r="D196" s="185"/>
      <c r="E196" s="185"/>
      <c r="F196" s="185"/>
      <c r="G196" s="185"/>
      <c r="H196" s="186"/>
      <c r="I196" s="81">
        <f t="shared" si="1"/>
        <v>0</v>
      </c>
      <c r="J196" s="86"/>
      <c r="K196" s="80"/>
      <c r="L196" s="185"/>
      <c r="M196" s="433"/>
      <c r="N196" s="412" t="s">
        <v>1278</v>
      </c>
      <c r="O196" s="412">
        <v>5.0</v>
      </c>
      <c r="P196" s="412">
        <v>5.5</v>
      </c>
      <c r="Q196" s="21" t="s">
        <v>1235</v>
      </c>
    </row>
    <row r="197">
      <c r="A197" s="107"/>
      <c r="B197" s="415" t="str">
        <f>HYPERLINK("http://codeforces.com/contest/633/problem/D","CF633-D12-D")</f>
        <v>CF633-D12-D</v>
      </c>
      <c r="C197" s="185"/>
      <c r="D197" s="185"/>
      <c r="E197" s="185"/>
      <c r="F197" s="185"/>
      <c r="G197" s="185"/>
      <c r="H197" s="186"/>
      <c r="I197" s="81">
        <f t="shared" si="1"/>
        <v>0</v>
      </c>
      <c r="J197" s="126"/>
      <c r="K197" s="125"/>
      <c r="L197" s="185"/>
      <c r="M197" s="435"/>
      <c r="N197" s="412" t="s">
        <v>1279</v>
      </c>
      <c r="O197" s="412">
        <v>5.0</v>
      </c>
      <c r="P197" s="412">
        <v>5.5</v>
      </c>
      <c r="Q197" s="21" t="s">
        <v>1235</v>
      </c>
    </row>
    <row r="198">
      <c r="A198" s="107"/>
      <c r="B198" s="107" t="s">
        <v>1071</v>
      </c>
      <c r="C198" s="185"/>
      <c r="D198" s="185"/>
      <c r="E198" s="185"/>
      <c r="F198" s="185"/>
      <c r="G198" s="185"/>
      <c r="H198" s="186"/>
      <c r="I198" s="81">
        <f t="shared" si="1"/>
        <v>0</v>
      </c>
      <c r="J198" s="86"/>
      <c r="K198" s="80"/>
      <c r="L198" s="434"/>
      <c r="M198" s="428"/>
      <c r="N198" s="412" t="s">
        <v>1280</v>
      </c>
      <c r="O198" s="412">
        <v>5.0</v>
      </c>
      <c r="P198" s="412">
        <v>5.5</v>
      </c>
      <c r="Q198" s="21" t="s">
        <v>1237</v>
      </c>
    </row>
    <row r="199">
      <c r="A199" s="107" t="s">
        <v>268</v>
      </c>
      <c r="B199" s="415" t="str">
        <f>HYPERLINK("http://codeforces.com/contest/287/problem/B","CF287-D2-B")</f>
        <v>CF287-D2-B</v>
      </c>
      <c r="C199" s="185"/>
      <c r="D199" s="185"/>
      <c r="E199" s="185"/>
      <c r="F199" s="185"/>
      <c r="G199" s="185"/>
      <c r="H199" s="186"/>
      <c r="I199" s="81">
        <f t="shared" si="1"/>
        <v>0</v>
      </c>
      <c r="J199" s="160"/>
      <c r="K199" s="80"/>
      <c r="L199" s="160"/>
      <c r="M199" s="421" t="str">
        <f>HYPERLINK("https://www.youtube.com/watch?v=mhrz7F01Vqs","Video Solution - Dr Mostafa Saad")</f>
        <v>Video Solution - Dr Mostafa Saad</v>
      </c>
      <c r="N199" s="412" t="s">
        <v>1281</v>
      </c>
      <c r="O199" s="412">
        <v>6.0</v>
      </c>
      <c r="P199" s="287">
        <v>2.5</v>
      </c>
    </row>
    <row r="200">
      <c r="A200" s="107" t="s">
        <v>408</v>
      </c>
      <c r="B200" s="415" t="str">
        <f>HYPERLINK("http://codeforces.com/contest/492/problem/B","CF492-D2-B")</f>
        <v>CF492-D2-B</v>
      </c>
      <c r="C200" s="185"/>
      <c r="D200" s="185"/>
      <c r="E200" s="185"/>
      <c r="F200" s="185"/>
      <c r="G200" s="185"/>
      <c r="H200" s="186"/>
      <c r="I200" s="81">
        <f t="shared" si="1"/>
        <v>0</v>
      </c>
      <c r="J200" s="86"/>
      <c r="K200" s="80"/>
      <c r="L200" s="185"/>
      <c r="M200" s="424" t="str">
        <f>HYPERLINK("https://www.youtube.com/watch?v=i4fMKTt8e84","Video Solution - Solver to be (Java)")</f>
        <v>Video Solution - Solver to be (Java)</v>
      </c>
      <c r="N200" s="287" t="s">
        <v>1282</v>
      </c>
      <c r="O200" s="287">
        <v>6.0</v>
      </c>
      <c r="P200" s="412">
        <v>2.5</v>
      </c>
      <c r="Q200" s="21" t="s">
        <v>1235</v>
      </c>
    </row>
    <row r="201">
      <c r="A201" s="107" t="s">
        <v>270</v>
      </c>
      <c r="B201" s="415" t="str">
        <f>HYPERLINK("http://www.spoj.com/problems/AGGRCOW/","SPOJ AGGRCOW")</f>
        <v>SPOJ AGGRCOW</v>
      </c>
      <c r="C201" s="185"/>
      <c r="D201" s="185"/>
      <c r="E201" s="185"/>
      <c r="F201" s="185"/>
      <c r="G201" s="185"/>
      <c r="H201" s="186"/>
      <c r="I201" s="81">
        <f t="shared" si="1"/>
        <v>0</v>
      </c>
      <c r="J201" s="120"/>
      <c r="K201" s="80"/>
      <c r="L201" s="120"/>
      <c r="M201" s="101" t="str">
        <f>HYPERLINK("https://www.youtube.com/watch?v=2R9L6mVal9U","Video Solution - Eng Youssef El Ghareeb")</f>
        <v>Video Solution - Eng Youssef El Ghareeb</v>
      </c>
      <c r="N201" s="412" t="s">
        <v>1281</v>
      </c>
      <c r="O201" s="412">
        <v>6.0</v>
      </c>
      <c r="P201" s="412">
        <v>3.0</v>
      </c>
    </row>
    <row r="202">
      <c r="A202" s="107" t="s">
        <v>493</v>
      </c>
      <c r="B202" s="415" t="str">
        <f>HYPERLINK("https://uva.onlinejudge.org/index.php?option=onlinejudge&amp;page=show_problem&amp;problem=1217","UVA 10276")</f>
        <v>UVA 10276</v>
      </c>
      <c r="C202" s="185"/>
      <c r="D202" s="185"/>
      <c r="E202" s="185"/>
      <c r="F202" s="185"/>
      <c r="G202" s="185"/>
      <c r="H202" s="186"/>
      <c r="I202" s="81">
        <f t="shared" si="1"/>
        <v>0</v>
      </c>
      <c r="J202" s="86"/>
      <c r="K202" s="80"/>
      <c r="L202" s="185"/>
      <c r="M202" s="219" t="str">
        <f>HYPERLINK("https://www.youtube.com/watch?v=ygWfse3bBLI&amp;feature=youtu.be","Video Solution - Eng Mahmoud Adel")</f>
        <v>Video Solution - Eng Mahmoud Adel</v>
      </c>
      <c r="N202" s="412" t="s">
        <v>1283</v>
      </c>
      <c r="O202" s="412">
        <v>6.0</v>
      </c>
      <c r="P202" s="412">
        <v>3.5</v>
      </c>
    </row>
    <row r="203">
      <c r="A203" s="107" t="s">
        <v>455</v>
      </c>
      <c r="B203" s="415" t="str">
        <f>HYPERLINK("https://uva.onlinejudge.org/index.php?option=com_onlinejudge&amp;Itemid=8&amp;page=show_problem&amp;problem=1018","UVA 10077")</f>
        <v>UVA 10077</v>
      </c>
      <c r="C203" s="185"/>
      <c r="D203" s="185"/>
      <c r="E203" s="185"/>
      <c r="F203" s="185"/>
      <c r="G203" s="185"/>
      <c r="H203" s="186"/>
      <c r="I203" s="81">
        <f t="shared" si="1"/>
        <v>0</v>
      </c>
      <c r="J203" s="86"/>
      <c r="K203" s="80"/>
      <c r="L203" s="185"/>
      <c r="M203" s="257"/>
      <c r="N203" s="412" t="s">
        <v>1284</v>
      </c>
      <c r="O203" s="412">
        <v>6.0</v>
      </c>
      <c r="P203" s="412">
        <v>3.5</v>
      </c>
    </row>
    <row r="204">
      <c r="A204" s="107" t="s">
        <v>795</v>
      </c>
      <c r="B204" s="415" t="str">
        <f>HYPERLINK("http://codeforces.com/contest/270/problem/C","CF270-D2-C")</f>
        <v>CF270-D2-C</v>
      </c>
      <c r="C204" s="185"/>
      <c r="D204" s="185"/>
      <c r="E204" s="185"/>
      <c r="F204" s="185"/>
      <c r="G204" s="185"/>
      <c r="H204" s="186"/>
      <c r="I204" s="81">
        <f t="shared" si="1"/>
        <v>0</v>
      </c>
      <c r="J204" s="86"/>
      <c r="K204" s="80"/>
      <c r="L204" s="185"/>
      <c r="M204" s="107"/>
      <c r="N204" s="412" t="s">
        <v>1285</v>
      </c>
      <c r="O204" s="412">
        <v>6.0</v>
      </c>
      <c r="P204" s="412">
        <v>4.0</v>
      </c>
      <c r="Q204" s="21" t="s">
        <v>1237</v>
      </c>
    </row>
    <row r="205">
      <c r="A205" s="107" t="s">
        <v>1161</v>
      </c>
      <c r="B205" s="415" t="str">
        <f>HYPERLINK("http://codeforces.com/contest/651/problem/D","CF651-D2-D")</f>
        <v>CF651-D2-D</v>
      </c>
      <c r="C205" s="185"/>
      <c r="D205" s="185"/>
      <c r="E205" s="185"/>
      <c r="F205" s="185"/>
      <c r="G205" s="185"/>
      <c r="H205" s="186"/>
      <c r="I205" s="81">
        <f t="shared" si="1"/>
        <v>0</v>
      </c>
      <c r="J205" s="120"/>
      <c r="K205" s="185"/>
      <c r="L205" s="434"/>
      <c r="M205" s="430"/>
      <c r="N205" s="412" t="s">
        <v>1286</v>
      </c>
      <c r="O205" s="412">
        <v>6.0</v>
      </c>
      <c r="P205" s="412">
        <v>4.0</v>
      </c>
      <c r="Q205" s="21" t="s">
        <v>1235</v>
      </c>
    </row>
    <row r="206">
      <c r="A206" s="107" t="s">
        <v>711</v>
      </c>
      <c r="B206" s="415" t="str">
        <f>HYPERLINK("http://codeforces.com/contest/812/problem/C","CF812-D2-C")</f>
        <v>CF812-D2-C</v>
      </c>
      <c r="C206" s="185"/>
      <c r="D206" s="185"/>
      <c r="E206" s="185"/>
      <c r="F206" s="185"/>
      <c r="G206" s="185"/>
      <c r="H206" s="186"/>
      <c r="I206" s="81">
        <f t="shared" si="1"/>
        <v>0</v>
      </c>
      <c r="J206" s="86"/>
      <c r="K206" s="80"/>
      <c r="L206" s="185"/>
      <c r="M206" s="418" t="str">
        <f>HYPERLINK("https://www.youtube.com/watch?v=SDEpB87Uxpg","Video Solution - Solver to be (Java)")</f>
        <v>Video Solution - Solver to be (Java)</v>
      </c>
      <c r="N206" s="412" t="s">
        <v>1281</v>
      </c>
      <c r="O206" s="412">
        <v>6.0</v>
      </c>
      <c r="P206" s="412">
        <v>4.0</v>
      </c>
    </row>
    <row r="207">
      <c r="A207" s="107" t="s">
        <v>267</v>
      </c>
      <c r="B207" s="415" t="str">
        <f>HYPERLINK("https://uva.onlinejudge.org/index.php?option=com_onlinejudge&amp;Itemid=8&amp;page=show_problem&amp;problem=1552","UVA 10611")</f>
        <v>UVA 10611</v>
      </c>
      <c r="C207" s="185"/>
      <c r="D207" s="185"/>
      <c r="E207" s="185"/>
      <c r="F207" s="185"/>
      <c r="G207" s="185"/>
      <c r="H207" s="186"/>
      <c r="I207" s="81">
        <f t="shared" si="1"/>
        <v>0</v>
      </c>
      <c r="J207" s="120"/>
      <c r="K207" s="80"/>
      <c r="L207" s="120"/>
      <c r="M207" s="425" t="str">
        <f>HYPERLINK("https://www.youtube.com/watch?v=OsfeunBJFzw","Video Solution - Eng Ayman Salah")</f>
        <v>Video Solution - Eng Ayman Salah</v>
      </c>
      <c r="N207" s="412" t="s">
        <v>1281</v>
      </c>
      <c r="O207" s="412">
        <v>6.0</v>
      </c>
      <c r="P207" s="412">
        <v>4.0</v>
      </c>
    </row>
    <row r="208">
      <c r="A208" s="107" t="s">
        <v>737</v>
      </c>
      <c r="B208" s="415" t="str">
        <f>HYPERLINK("http://codeforces.com/contest/75/problem/C","CF75-D2-C")</f>
        <v>CF75-D2-C</v>
      </c>
      <c r="C208" s="185"/>
      <c r="D208" s="185"/>
      <c r="E208" s="185"/>
      <c r="F208" s="185"/>
      <c r="G208" s="185"/>
      <c r="H208" s="186"/>
      <c r="I208" s="81">
        <f t="shared" si="1"/>
        <v>0</v>
      </c>
      <c r="J208" s="86"/>
      <c r="K208" s="80"/>
      <c r="L208" s="185"/>
      <c r="M208" s="418" t="str">
        <f>HYPERLINK("https://www.youtube.com/watch?v=EZg71v0Z5iE","Video Solution - Dr Mostafa Saad")</f>
        <v>Video Solution - Dr Mostafa Saad</v>
      </c>
      <c r="N208" s="412" t="s">
        <v>1287</v>
      </c>
      <c r="O208" s="412">
        <v>6.0</v>
      </c>
      <c r="P208" s="412">
        <v>4.0</v>
      </c>
      <c r="Q208" s="21" t="s">
        <v>1235</v>
      </c>
    </row>
    <row r="209">
      <c r="A209" s="107" t="s">
        <v>1024</v>
      </c>
      <c r="B209" s="415" t="str">
        <f>HYPERLINK("http://www.spoj.com/problems/DICTSUB/","SPOJ DICTSUB")</f>
        <v>SPOJ DICTSUB</v>
      </c>
      <c r="C209" s="185"/>
      <c r="D209" s="185"/>
      <c r="E209" s="185"/>
      <c r="F209" s="185"/>
      <c r="G209" s="185"/>
      <c r="H209" s="186"/>
      <c r="I209" s="81">
        <f t="shared" si="1"/>
        <v>0</v>
      </c>
      <c r="J209" s="86"/>
      <c r="K209" s="80"/>
      <c r="L209" s="185"/>
      <c r="M209" s="432" t="str">
        <f>HYPERLINK("https://github.com/VAMPIER000001/CompetitiveProgramming/blob/master/Spoj/SPOJ%20DICTSUB.Cpp","Sol")</f>
        <v>Sol</v>
      </c>
      <c r="N209" s="412" t="s">
        <v>1288</v>
      </c>
      <c r="O209" s="412">
        <v>6.0</v>
      </c>
      <c r="P209" s="412">
        <v>4.5</v>
      </c>
      <c r="Q209" s="21" t="s">
        <v>1235</v>
      </c>
    </row>
    <row r="210">
      <c r="A210" s="107" t="s">
        <v>1164</v>
      </c>
      <c r="B210" s="415" t="str">
        <f>HYPERLINK("http://codeforces.com/contest/255/problem/D","CF255-D2-D")</f>
        <v>CF255-D2-D</v>
      </c>
      <c r="C210" s="185"/>
      <c r="D210" s="185"/>
      <c r="E210" s="185"/>
      <c r="F210" s="185"/>
      <c r="G210" s="185"/>
      <c r="H210" s="186"/>
      <c r="I210" s="81">
        <f t="shared" si="1"/>
        <v>0</v>
      </c>
      <c r="J210" s="126"/>
      <c r="K210" s="125"/>
      <c r="L210" s="434"/>
      <c r="M210" s="430"/>
      <c r="N210" s="412" t="s">
        <v>1281</v>
      </c>
      <c r="O210" s="412">
        <v>6.0</v>
      </c>
      <c r="P210" s="412">
        <v>4.5</v>
      </c>
      <c r="Q210" s="21" t="s">
        <v>1231</v>
      </c>
    </row>
    <row r="211">
      <c r="A211" s="107"/>
      <c r="B211" s="415" t="str">
        <f>HYPERLINK("https://codeforces.com/contest/1060/problem/C","CF1060-D12-C")</f>
        <v>CF1060-D12-C</v>
      </c>
      <c r="C211" s="185"/>
      <c r="D211" s="185"/>
      <c r="E211" s="185"/>
      <c r="F211" s="185"/>
      <c r="G211" s="185"/>
      <c r="H211" s="186"/>
      <c r="I211" s="81">
        <f t="shared" si="1"/>
        <v>0</v>
      </c>
      <c r="J211" s="86"/>
      <c r="K211" s="80"/>
      <c r="L211" s="185"/>
      <c r="M211" s="107"/>
      <c r="N211" s="412" t="s">
        <v>1289</v>
      </c>
      <c r="O211" s="412">
        <v>6.0</v>
      </c>
      <c r="P211" s="412">
        <v>5.0</v>
      </c>
      <c r="Q211" s="21" t="s">
        <v>1237</v>
      </c>
    </row>
    <row r="212">
      <c r="A212" s="107" t="s">
        <v>373</v>
      </c>
      <c r="B212" s="415" t="str">
        <f>HYPERLINK("http://codeforces.com/contest/448/problem/D","CF448-D2-D")</f>
        <v>CF448-D2-D</v>
      </c>
      <c r="C212" s="185"/>
      <c r="D212" s="185"/>
      <c r="E212" s="185"/>
      <c r="F212" s="185"/>
      <c r="G212" s="185"/>
      <c r="H212" s="186"/>
      <c r="I212" s="81">
        <f t="shared" si="1"/>
        <v>0</v>
      </c>
      <c r="J212" s="126"/>
      <c r="K212" s="125"/>
      <c r="L212" s="185"/>
      <c r="M212" s="424" t="str">
        <f>HYPERLINK("https://www.youtube.com/watch?v=up_Z5e9ZsCU","Video Solution - Solve to be (Java)")</f>
        <v>Video Solution - Solve to be (Java)</v>
      </c>
      <c r="N212" s="412" t="s">
        <v>1281</v>
      </c>
      <c r="O212" s="412">
        <v>6.0</v>
      </c>
      <c r="P212" s="412">
        <v>5.0</v>
      </c>
      <c r="Q212" s="21" t="s">
        <v>1235</v>
      </c>
    </row>
    <row r="213">
      <c r="A213" s="107" t="s">
        <v>537</v>
      </c>
      <c r="B213" s="415" t="str">
        <f>HYPERLINK("https://uva.onlinejudge.org/index.php?option=onlinejudge&amp;page=show_problem&amp;problem=4330","UVA 1555")</f>
        <v>UVA 1555</v>
      </c>
      <c r="C213" s="185"/>
      <c r="D213" s="185"/>
      <c r="E213" s="185"/>
      <c r="F213" s="185"/>
      <c r="G213" s="185"/>
      <c r="H213" s="186"/>
      <c r="I213" s="81">
        <f t="shared" si="1"/>
        <v>0</v>
      </c>
      <c r="J213" s="126"/>
      <c r="K213" s="125"/>
      <c r="L213" s="185"/>
      <c r="M213" s="321" t="str">
        <f>HYPERLINK("https://github.com/mostafa-saad/MyCompetitiveProgramming/blob/master/UVA/UVA_1555.txt","Sol")</f>
        <v>Sol</v>
      </c>
      <c r="N213" s="412" t="s">
        <v>1290</v>
      </c>
      <c r="O213" s="412">
        <v>6.0</v>
      </c>
      <c r="P213" s="412">
        <v>5.0</v>
      </c>
      <c r="Q213" s="21" t="s">
        <v>1237</v>
      </c>
    </row>
    <row r="214">
      <c r="A214" s="107"/>
      <c r="B214" s="107" t="s">
        <v>920</v>
      </c>
      <c r="C214" s="185"/>
      <c r="D214" s="185"/>
      <c r="E214" s="185"/>
      <c r="F214" s="185"/>
      <c r="G214" s="185"/>
      <c r="H214" s="186"/>
      <c r="I214" s="81">
        <f t="shared" si="1"/>
        <v>0</v>
      </c>
      <c r="J214" s="126"/>
      <c r="K214" s="125"/>
      <c r="L214" s="185"/>
      <c r="M214" s="321" t="str">
        <f>HYPERLINK("https://github.com/mostafa-saad/MyCompetitiveProgramming/blob/master/SPOJ/SPOJ_ABA12E.txt","Sol")</f>
        <v>Sol</v>
      </c>
      <c r="N214" s="412" t="s">
        <v>1291</v>
      </c>
      <c r="O214" s="412">
        <v>6.0</v>
      </c>
      <c r="P214" s="412">
        <v>5.5</v>
      </c>
      <c r="Q214" s="21" t="s">
        <v>1237</v>
      </c>
    </row>
    <row r="215">
      <c r="A215" s="107" t="s">
        <v>1172</v>
      </c>
      <c r="B215" s="415" t="str">
        <f>HYPERLINK("http://www.spoj.com/problems/MSE07E/","SPOJ MSE07E")</f>
        <v>SPOJ MSE07E</v>
      </c>
      <c r="C215" s="185"/>
      <c r="D215" s="185"/>
      <c r="E215" s="185"/>
      <c r="F215" s="185"/>
      <c r="G215" s="185"/>
      <c r="H215" s="186"/>
      <c r="I215" s="81">
        <f t="shared" si="1"/>
        <v>0</v>
      </c>
      <c r="J215" s="120"/>
      <c r="K215" s="185"/>
      <c r="L215" s="434"/>
      <c r="M215" s="321" t="str">
        <f>HYPERLINK("https://github.com/mostafa-saad/MyCompetitiveProgramming/blob/master/SPOJ/SPOJ_MSE07E.txt","Read SPOJ users' comments about IO. See here sol")</f>
        <v>Read SPOJ users' comments about IO. See here sol</v>
      </c>
      <c r="N215" s="412" t="s">
        <v>1292</v>
      </c>
      <c r="O215" s="412">
        <v>6.0</v>
      </c>
      <c r="P215" s="412">
        <v>6.0</v>
      </c>
      <c r="Q215" s="21" t="s">
        <v>1237</v>
      </c>
    </row>
    <row r="216">
      <c r="A216" s="107"/>
      <c r="B216" s="107" t="s">
        <v>1056</v>
      </c>
      <c r="C216" s="185"/>
      <c r="D216" s="185"/>
      <c r="E216" s="185"/>
      <c r="F216" s="185"/>
      <c r="G216" s="185"/>
      <c r="H216" s="186"/>
      <c r="I216" s="81">
        <f t="shared" si="1"/>
        <v>0</v>
      </c>
      <c r="J216" s="126"/>
      <c r="K216" s="125"/>
      <c r="L216" s="185"/>
      <c r="M216" s="107"/>
      <c r="N216" s="412" t="s">
        <v>1293</v>
      </c>
      <c r="O216" s="412">
        <v>8.0</v>
      </c>
      <c r="P216" s="412">
        <v>5.5</v>
      </c>
      <c r="Q216" s="21" t="s">
        <v>1235</v>
      </c>
    </row>
    <row r="217">
      <c r="A217" s="107"/>
      <c r="B217" s="107" t="s">
        <v>425</v>
      </c>
      <c r="C217" s="185"/>
      <c r="D217" s="185"/>
      <c r="E217" s="185"/>
      <c r="F217" s="185"/>
      <c r="G217" s="185"/>
      <c r="H217" s="186"/>
      <c r="I217" s="81">
        <f t="shared" si="1"/>
        <v>0</v>
      </c>
      <c r="J217" s="126"/>
      <c r="K217" s="125"/>
      <c r="L217" s="185"/>
      <c r="M217" s="128" t="str">
        <f>HYPERLINK("https://github.com/Ownography/CP/blob/master/SPOJ%20POSTERIN", "Sol")</f>
        <v>Sol</v>
      </c>
      <c r="N217" s="110" t="s">
        <v>1294</v>
      </c>
      <c r="O217" s="412">
        <v>9.0</v>
      </c>
      <c r="P217" s="412">
        <v>3.0</v>
      </c>
      <c r="Q217" s="21" t="s">
        <v>1262</v>
      </c>
    </row>
    <row r="218">
      <c r="A218" s="107" t="s">
        <v>604</v>
      </c>
      <c r="B218" s="415" t="str">
        <f>HYPERLINK("http://codeforces.com/contest/357/problem/C","CF357-D2-C")</f>
        <v>CF357-D2-C</v>
      </c>
      <c r="C218" s="185"/>
      <c r="D218" s="185"/>
      <c r="E218" s="185"/>
      <c r="F218" s="185"/>
      <c r="G218" s="185"/>
      <c r="H218" s="186"/>
      <c r="I218" s="81">
        <f t="shared" si="1"/>
        <v>0</v>
      </c>
      <c r="J218" s="86"/>
      <c r="K218" s="80"/>
      <c r="L218" s="185"/>
      <c r="M218" s="430"/>
      <c r="N218" s="412" t="s">
        <v>1295</v>
      </c>
      <c r="O218" s="412">
        <v>9.0</v>
      </c>
      <c r="P218" s="412">
        <v>3.0</v>
      </c>
    </row>
    <row r="219">
      <c r="A219" s="107"/>
      <c r="B219" s="415" t="str">
        <f>HYPERLINK("https://icpcarchive.ecs.baylor.edu/index.php?option=com_onlinejudge&amp;Itemid=8&amp;page=show_problem&amp;problem=6100","LiveArchive 8078")</f>
        <v>LiveArchive 8078</v>
      </c>
      <c r="C219" s="185"/>
      <c r="D219" s="185"/>
      <c r="E219" s="185"/>
      <c r="F219" s="185"/>
      <c r="G219" s="185"/>
      <c r="H219" s="186"/>
      <c r="I219" s="81">
        <f t="shared" si="1"/>
        <v>0</v>
      </c>
      <c r="J219" s="126"/>
      <c r="K219" s="125"/>
      <c r="L219" s="185"/>
      <c r="M219" s="128" t="str">
        <f>HYPERLINK("https://github.com/goswami-rahul/competitive-coding/blob/master/CompetitiveProgramming/livearchive/8078.cpp","Sol")</f>
        <v>Sol</v>
      </c>
      <c r="N219" s="110" t="s">
        <v>1296</v>
      </c>
      <c r="O219" s="412">
        <v>9.0</v>
      </c>
      <c r="P219" s="412">
        <v>4.0</v>
      </c>
      <c r="Q219" s="21" t="s">
        <v>1262</v>
      </c>
    </row>
    <row r="220">
      <c r="A220" s="107" t="s">
        <v>649</v>
      </c>
      <c r="B220" s="415" t="str">
        <f>HYPERLINK("http://codeforces.com/contest/92/problem/D","CF92-D2-D")</f>
        <v>CF92-D2-D</v>
      </c>
      <c r="C220" s="185"/>
      <c r="D220" s="185"/>
      <c r="E220" s="185"/>
      <c r="F220" s="185"/>
      <c r="G220" s="185"/>
      <c r="H220" s="186"/>
      <c r="I220" s="81">
        <f t="shared" si="1"/>
        <v>0</v>
      </c>
      <c r="J220" s="126"/>
      <c r="K220" s="125"/>
      <c r="L220" s="185"/>
      <c r="M220" s="430"/>
      <c r="N220" s="412" t="s">
        <v>1297</v>
      </c>
      <c r="O220" s="412">
        <v>9.0</v>
      </c>
      <c r="P220" s="412">
        <v>4.0</v>
      </c>
      <c r="Q220" s="21" t="s">
        <v>1235</v>
      </c>
    </row>
    <row r="221">
      <c r="A221" s="107" t="s">
        <v>643</v>
      </c>
      <c r="B221" s="415" t="str">
        <f>HYPERLINK("http://codeforces.com/contest/705/problem/C","CF705-D2-C")</f>
        <v>CF705-D2-C</v>
      </c>
      <c r="C221" s="185"/>
      <c r="D221" s="185"/>
      <c r="E221" s="185"/>
      <c r="F221" s="185"/>
      <c r="G221" s="185"/>
      <c r="H221" s="186"/>
      <c r="I221" s="81">
        <f t="shared" si="1"/>
        <v>0</v>
      </c>
      <c r="J221" s="86"/>
      <c r="K221" s="80"/>
      <c r="L221" s="185"/>
      <c r="M221" s="428"/>
      <c r="N221" s="412" t="s">
        <v>1298</v>
      </c>
      <c r="O221" s="412">
        <v>9.0</v>
      </c>
      <c r="P221" s="412">
        <v>4.0</v>
      </c>
      <c r="Q221" s="21" t="s">
        <v>1235</v>
      </c>
    </row>
    <row r="222">
      <c r="A222" s="107" t="s">
        <v>917</v>
      </c>
      <c r="B222" s="415" t="str">
        <f>HYPERLINK("https://uva.onlinejudge.org/index.php?option=com_onlinejudge&amp;Itemid=8&amp;page=show_problem&amp;problem=4467","UVA 1592")</f>
        <v>UVA 1592</v>
      </c>
      <c r="C222" s="185"/>
      <c r="D222" s="185"/>
      <c r="E222" s="185"/>
      <c r="F222" s="185"/>
      <c r="G222" s="185"/>
      <c r="H222" s="186"/>
      <c r="I222" s="81">
        <f t="shared" si="1"/>
        <v>0</v>
      </c>
      <c r="J222" s="126"/>
      <c r="K222" s="125"/>
      <c r="L222" s="185"/>
      <c r="M222" s="435"/>
      <c r="N222" s="412" t="s">
        <v>1299</v>
      </c>
      <c r="O222" s="412">
        <v>9.0</v>
      </c>
      <c r="P222" s="412">
        <v>4.0</v>
      </c>
      <c r="Q222" s="21" t="s">
        <v>1235</v>
      </c>
    </row>
    <row r="223">
      <c r="A223" s="107" t="s">
        <v>723</v>
      </c>
      <c r="B223" s="415" t="str">
        <f>HYPERLINK("http://codeforces.com/contest/276/problem/C","CF276-D2-C")</f>
        <v>CF276-D2-C</v>
      </c>
      <c r="C223" s="185"/>
      <c r="D223" s="185"/>
      <c r="E223" s="185"/>
      <c r="F223" s="185"/>
      <c r="G223" s="185"/>
      <c r="H223" s="186"/>
      <c r="I223" s="81">
        <f t="shared" si="1"/>
        <v>0</v>
      </c>
      <c r="J223" s="86"/>
      <c r="K223" s="80"/>
      <c r="L223" s="185"/>
      <c r="M223" s="428"/>
      <c r="N223" s="412" t="s">
        <v>1300</v>
      </c>
      <c r="O223" s="412">
        <v>9.0</v>
      </c>
      <c r="P223" s="412">
        <v>4.0</v>
      </c>
    </row>
    <row r="224">
      <c r="A224" s="107" t="s">
        <v>722</v>
      </c>
      <c r="B224" s="415" t="str">
        <f>HYPERLINK("http://codeforces.com/contest/518/problem/C","CF518-D2-C")</f>
        <v>CF518-D2-C</v>
      </c>
      <c r="C224" s="185"/>
      <c r="D224" s="185"/>
      <c r="E224" s="185"/>
      <c r="F224" s="185"/>
      <c r="G224" s="185"/>
      <c r="H224" s="186"/>
      <c r="I224" s="81">
        <f t="shared" si="1"/>
        <v>0</v>
      </c>
      <c r="J224" s="86"/>
      <c r="K224" s="80"/>
      <c r="L224" s="185"/>
      <c r="M224" s="428"/>
      <c r="N224" s="412" t="s">
        <v>1298</v>
      </c>
      <c r="O224" s="412">
        <v>9.0</v>
      </c>
      <c r="P224" s="412">
        <v>4.5</v>
      </c>
    </row>
    <row r="225">
      <c r="A225" s="107" t="s">
        <v>880</v>
      </c>
      <c r="B225" s="415" t="str">
        <f>HYPERLINK("http://codeforces.com/contest/697/problem/C","CF697-D2-C")</f>
        <v>CF697-D2-C</v>
      </c>
      <c r="C225" s="185"/>
      <c r="D225" s="185"/>
      <c r="E225" s="185"/>
      <c r="F225" s="185"/>
      <c r="G225" s="185"/>
      <c r="H225" s="186"/>
      <c r="I225" s="81">
        <f t="shared" si="1"/>
        <v>0</v>
      </c>
      <c r="J225" s="126"/>
      <c r="K225" s="125"/>
      <c r="L225" s="185"/>
      <c r="M225" s="107"/>
      <c r="N225" s="412" t="s">
        <v>1301</v>
      </c>
      <c r="O225" s="412">
        <v>9.0</v>
      </c>
      <c r="P225" s="412">
        <v>4.5</v>
      </c>
    </row>
    <row r="226">
      <c r="A226" s="107" t="s">
        <v>1022</v>
      </c>
      <c r="B226" s="415" t="str">
        <f>HYPERLINK("http://www.spoj.com/problems/WEIRDFN/","SPOJ WEIRDFN")</f>
        <v>SPOJ WEIRDFN</v>
      </c>
      <c r="C226" s="185"/>
      <c r="D226" s="185"/>
      <c r="E226" s="185"/>
      <c r="F226" s="185"/>
      <c r="G226" s="185"/>
      <c r="H226" s="186"/>
      <c r="I226" s="81">
        <f t="shared" si="1"/>
        <v>0</v>
      </c>
      <c r="J226" s="86"/>
      <c r="K226" s="80"/>
      <c r="L226" s="434"/>
      <c r="M226" s="432" t="str">
        <f>HYPERLINK("https://github.com/mostafa-saad/MyCompetitiveProgramming/blob/master/SPOJ/SPOJ_WEIRDFN.txt","Sol")</f>
        <v>Sol</v>
      </c>
      <c r="N226" s="412" t="s">
        <v>1302</v>
      </c>
      <c r="O226" s="412">
        <v>9.0</v>
      </c>
      <c r="P226" s="412">
        <v>5.0</v>
      </c>
      <c r="Q226" s="21" t="s">
        <v>1262</v>
      </c>
    </row>
    <row r="227">
      <c r="A227" s="107" t="s">
        <v>1170</v>
      </c>
      <c r="B227" s="415" t="str">
        <f>HYPERLINK("https://uva.onlinejudge.org/index.php?option=onlinejudge&amp;page=show_problem&amp;problem=442","UVA 501")</f>
        <v>UVA 501</v>
      </c>
      <c r="C227" s="185"/>
      <c r="D227" s="185"/>
      <c r="E227" s="185"/>
      <c r="F227" s="185"/>
      <c r="G227" s="185"/>
      <c r="H227" s="186"/>
      <c r="I227" s="81">
        <f t="shared" si="1"/>
        <v>0</v>
      </c>
      <c r="J227" s="120"/>
      <c r="K227" s="185"/>
      <c r="L227" s="434"/>
      <c r="M227" s="321" t="str">
        <f>HYPERLINK("https://github.com/mostafa-saad/MyCompetitiveProgramming/blob/master/UVA/UVA_501.txt","Sol - Must Read")</f>
        <v>Sol - Must Read</v>
      </c>
      <c r="N227" s="412" t="s">
        <v>1303</v>
      </c>
      <c r="O227" s="412">
        <v>9.0</v>
      </c>
      <c r="P227" s="412">
        <v>5.0</v>
      </c>
      <c r="Q227" s="21" t="s">
        <v>1235</v>
      </c>
    </row>
    <row r="228">
      <c r="A228" s="107" t="s">
        <v>916</v>
      </c>
      <c r="B228" s="415" t="str">
        <f>HYPERLINK("https://icpcarchive.ecs.baylor.edu/index.php?option=com_onlinejudge&amp;Itemid=8&amp;category=19&amp;page=show_problem&amp;problem=1635","LiveArchive 3634")</f>
        <v>LiveArchive 3634</v>
      </c>
      <c r="C228" s="185"/>
      <c r="D228" s="185"/>
      <c r="E228" s="185"/>
      <c r="F228" s="185"/>
      <c r="G228" s="185"/>
      <c r="H228" s="186"/>
      <c r="I228" s="81">
        <f t="shared" si="1"/>
        <v>0</v>
      </c>
      <c r="J228" s="126"/>
      <c r="K228" s="125"/>
      <c r="L228" s="185"/>
      <c r="M228" s="321" t="str">
        <f>HYPERLINK("https://github.com/SaraElkadi/competitive-programming-/blob/master/LiveArchive/3634.cpp","Sol")</f>
        <v>Sol</v>
      </c>
      <c r="N228" s="412" t="s">
        <v>1304</v>
      </c>
      <c r="O228" s="412">
        <v>9.0</v>
      </c>
      <c r="P228" s="412">
        <v>5.0</v>
      </c>
      <c r="Q228" s="21" t="s">
        <v>1235</v>
      </c>
    </row>
    <row r="229">
      <c r="A229" s="107"/>
      <c r="B229" s="415" t="str">
        <f>HYPERLINK("http://codeforces.com/problemset/problem/899/E","CF899-D2-E")</f>
        <v>CF899-D2-E</v>
      </c>
      <c r="C229" s="185"/>
      <c r="D229" s="185"/>
      <c r="E229" s="185"/>
      <c r="F229" s="185"/>
      <c r="G229" s="185"/>
      <c r="H229" s="186"/>
      <c r="I229" s="81">
        <f t="shared" si="1"/>
        <v>0</v>
      </c>
      <c r="J229" s="126"/>
      <c r="K229" s="125"/>
      <c r="L229" s="185"/>
      <c r="M229" s="107"/>
      <c r="N229" s="412" t="s">
        <v>1305</v>
      </c>
      <c r="O229" s="412">
        <v>9.0</v>
      </c>
      <c r="P229" s="412">
        <v>5.5</v>
      </c>
      <c r="Q229" s="21" t="s">
        <v>1237</v>
      </c>
    </row>
    <row r="230">
      <c r="A230" s="107" t="s">
        <v>1108</v>
      </c>
      <c r="B230" s="415" t="str">
        <f>HYPERLINK("http://codeforces.com/contest/548/problem/D","CF548-D2-D")</f>
        <v>CF548-D2-D</v>
      </c>
      <c r="C230" s="185"/>
      <c r="D230" s="185"/>
      <c r="E230" s="185"/>
      <c r="F230" s="185"/>
      <c r="G230" s="185"/>
      <c r="H230" s="186"/>
      <c r="I230" s="81">
        <f t="shared" si="1"/>
        <v>0</v>
      </c>
      <c r="J230" s="86"/>
      <c r="K230" s="80"/>
      <c r="L230" s="434"/>
      <c r="M230" s="435"/>
      <c r="N230" s="412" t="s">
        <v>1306</v>
      </c>
      <c r="O230" s="412">
        <v>9.0</v>
      </c>
      <c r="P230" s="412">
        <v>5.5</v>
      </c>
      <c r="Q230" s="21" t="s">
        <v>1235</v>
      </c>
    </row>
    <row r="231">
      <c r="A231" s="107" t="s">
        <v>1144</v>
      </c>
      <c r="B231" s="415" t="str">
        <f>HYPERLINK("https://uva.onlinejudge.org/index.php?option=com_onlinejudge&amp;Itemid=8&amp;page=show_problem&amp;problem=4395","UVA 12657")</f>
        <v>UVA 12657</v>
      </c>
      <c r="C231" s="185"/>
      <c r="D231" s="185"/>
      <c r="E231" s="185"/>
      <c r="F231" s="185"/>
      <c r="G231" s="185"/>
      <c r="H231" s="186"/>
      <c r="I231" s="81">
        <f t="shared" si="1"/>
        <v>0</v>
      </c>
      <c r="J231" s="126"/>
      <c r="K231" s="125"/>
      <c r="L231" s="434"/>
      <c r="M231" s="321" t="str">
        <f>HYPERLINK("http://qkxue.net/info/113260/UVA-Boxes-Line-12657","Sol")</f>
        <v>Sol</v>
      </c>
      <c r="N231" s="412" t="s">
        <v>1307</v>
      </c>
      <c r="O231" s="412">
        <v>9.0</v>
      </c>
      <c r="P231" s="412">
        <v>5.5</v>
      </c>
      <c r="Q231" s="21" t="s">
        <v>1231</v>
      </c>
    </row>
    <row r="232">
      <c r="A232" s="107" t="s">
        <v>1171</v>
      </c>
      <c r="B232" s="415" t="str">
        <f>HYPERLINK("https://uva.onlinejudge.org/index.php?option=com_onlinejudge&amp;Itemid=8&amp;page=show_problem&amp;problem=2175","UVA 11234")</f>
        <v>UVA 11234</v>
      </c>
      <c r="C232" s="185"/>
      <c r="D232" s="185"/>
      <c r="E232" s="185"/>
      <c r="F232" s="185"/>
      <c r="G232" s="185"/>
      <c r="H232" s="186"/>
      <c r="I232" s="81">
        <f t="shared" si="1"/>
        <v>0</v>
      </c>
      <c r="J232" s="120"/>
      <c r="K232" s="185"/>
      <c r="L232" s="434"/>
      <c r="M232" s="321" t="str">
        <f>HYPERLINK("https://github.com/AbdelrahmanRamadan/competitive-programming/blob/master/UVA/11234%20-%20Expressions.cpp","Sol")</f>
        <v>Sol</v>
      </c>
      <c r="N232" s="412" t="s">
        <v>1308</v>
      </c>
      <c r="O232" s="412">
        <v>9.0</v>
      </c>
      <c r="P232" s="412">
        <v>6.0</v>
      </c>
      <c r="Q232" s="21" t="s">
        <v>1235</v>
      </c>
    </row>
    <row r="233">
      <c r="A233" s="107"/>
      <c r="B233" s="107" t="s">
        <v>942</v>
      </c>
      <c r="C233" s="185"/>
      <c r="D233" s="185"/>
      <c r="E233" s="185"/>
      <c r="F233" s="185"/>
      <c r="G233" s="185"/>
      <c r="H233" s="186"/>
      <c r="I233" s="81">
        <f t="shared" si="1"/>
        <v>0</v>
      </c>
      <c r="J233" s="86"/>
      <c r="K233" s="80"/>
      <c r="L233" s="185"/>
      <c r="M233" s="321" t="str">
        <f>HYPERLINK("https://github.com/thackerhelik/UVA/blob/master/11997.cpp","Sol")</f>
        <v>Sol</v>
      </c>
      <c r="N233" s="412" t="s">
        <v>1309</v>
      </c>
      <c r="O233" s="412">
        <v>9.0</v>
      </c>
      <c r="P233" s="412">
        <v>6.25</v>
      </c>
      <c r="Q233" s="21" t="s">
        <v>1262</v>
      </c>
    </row>
    <row r="234">
      <c r="A234" s="107" t="s">
        <v>637</v>
      </c>
      <c r="B234" s="415" t="str">
        <f>HYPERLINK("https://uva.onlinejudge.org/index.php?option=com_onlinejudge&amp;Itemid=8&amp;page=show_problem&amp;problem=944","UVA 10003")</f>
        <v>UVA 10003</v>
      </c>
      <c r="C234" s="185"/>
      <c r="D234" s="185"/>
      <c r="E234" s="185"/>
      <c r="F234" s="185"/>
      <c r="G234" s="185"/>
      <c r="H234" s="186"/>
      <c r="I234" s="81">
        <f t="shared" si="1"/>
        <v>0</v>
      </c>
      <c r="J234" s="86"/>
      <c r="K234" s="80"/>
      <c r="L234" s="185"/>
      <c r="M234" s="431"/>
      <c r="N234" s="412" t="s">
        <v>1310</v>
      </c>
      <c r="O234" s="412">
        <v>10.0</v>
      </c>
      <c r="P234" s="412">
        <v>3.0</v>
      </c>
      <c r="Q234" s="21" t="s">
        <v>1235</v>
      </c>
    </row>
    <row r="235">
      <c r="A235" s="107" t="s">
        <v>621</v>
      </c>
      <c r="B235" s="415" t="str">
        <f>HYPERLINK("https://uva.onlinejudge.org/index.php?option=com_onlinejudge&amp;Itemid=8&amp;page=show_problem&amp;problem=503","UVA 562")</f>
        <v>UVA 562</v>
      </c>
      <c r="C235" s="185"/>
      <c r="D235" s="185"/>
      <c r="E235" s="185"/>
      <c r="F235" s="185"/>
      <c r="G235" s="185"/>
      <c r="H235" s="186"/>
      <c r="I235" s="81">
        <f t="shared" si="1"/>
        <v>0</v>
      </c>
      <c r="J235" s="86"/>
      <c r="K235" s="80"/>
      <c r="L235" s="185"/>
      <c r="M235" s="427" t="str">
        <f>HYPERLINK("https://www.youtube.com/watch?v=HN-oKkysTmc","Video Solution - Eng Ayman Salah")</f>
        <v>Video Solution - Eng Ayman Salah</v>
      </c>
      <c r="N235" s="412" t="s">
        <v>1311</v>
      </c>
      <c r="O235" s="412">
        <v>10.0</v>
      </c>
      <c r="P235" s="412">
        <v>3.0</v>
      </c>
    </row>
    <row r="236">
      <c r="A236" s="107" t="s">
        <v>619</v>
      </c>
      <c r="B236" s="415" t="str">
        <f>HYPERLINK("https://uva.onlinejudge.org/index.php?option=onlinejudge&amp;page=show_problem&amp;problem=1133","UVA 10192")</f>
        <v>UVA 10192</v>
      </c>
      <c r="C236" s="185"/>
      <c r="D236" s="185"/>
      <c r="E236" s="185"/>
      <c r="F236" s="185"/>
      <c r="G236" s="185"/>
      <c r="H236" s="186"/>
      <c r="I236" s="81">
        <f t="shared" si="1"/>
        <v>0</v>
      </c>
      <c r="J236" s="86"/>
      <c r="K236" s="80"/>
      <c r="L236" s="185"/>
      <c r="M236" s="438" t="s">
        <v>620</v>
      </c>
      <c r="N236" s="412" t="s">
        <v>1312</v>
      </c>
      <c r="O236" s="412">
        <v>10.0</v>
      </c>
      <c r="P236" s="412">
        <v>3.0</v>
      </c>
    </row>
    <row r="237">
      <c r="A237" s="107" t="s">
        <v>626</v>
      </c>
      <c r="B237" s="415" t="str">
        <f>HYPERLINK("https://uva.onlinejudge.org/index.php?option=com_onlinejudge&amp;Itemid=8&amp;page=show_problem&amp;problem=977","UVA 10036")</f>
        <v>UVA 10036</v>
      </c>
      <c r="C237" s="185"/>
      <c r="D237" s="185"/>
      <c r="E237" s="185"/>
      <c r="F237" s="185"/>
      <c r="G237" s="185"/>
      <c r="H237" s="186"/>
      <c r="I237" s="81">
        <f t="shared" si="1"/>
        <v>0</v>
      </c>
      <c r="J237" s="86"/>
      <c r="K237" s="80"/>
      <c r="L237" s="185"/>
      <c r="M237" s="253" t="s">
        <v>625</v>
      </c>
      <c r="N237" s="412" t="s">
        <v>1313</v>
      </c>
      <c r="O237" s="412">
        <v>10.0</v>
      </c>
      <c r="P237" s="412">
        <v>3.0</v>
      </c>
    </row>
    <row r="238">
      <c r="A238" s="107" t="s">
        <v>803</v>
      </c>
      <c r="B238" s="415" t="str">
        <f>HYPERLINK("https://uva.onlinejudge.org/index.php?option=onlinejudge&amp;page=show_problem&amp;problem=1041","UVA 10100")</f>
        <v>UVA 10100</v>
      </c>
      <c r="C238" s="185"/>
      <c r="D238" s="185"/>
      <c r="E238" s="185"/>
      <c r="F238" s="185"/>
      <c r="G238" s="185"/>
      <c r="H238" s="186"/>
      <c r="I238" s="81">
        <f t="shared" si="1"/>
        <v>0</v>
      </c>
      <c r="J238" s="86"/>
      <c r="K238" s="80"/>
      <c r="L238" s="185"/>
      <c r="M238" s="253" t="s">
        <v>625</v>
      </c>
      <c r="N238" s="412" t="s">
        <v>1312</v>
      </c>
      <c r="O238" s="412">
        <v>10.0</v>
      </c>
      <c r="P238" s="412">
        <v>3.5</v>
      </c>
    </row>
    <row r="239">
      <c r="A239" s="107"/>
      <c r="B239" s="415" t="str">
        <f>HYPERLINK("https://codeforces.com/contest/1057/problem/C","CF1057-D12-C")</f>
        <v>CF1057-D12-C</v>
      </c>
      <c r="C239" s="185"/>
      <c r="D239" s="185"/>
      <c r="E239" s="185"/>
      <c r="F239" s="185"/>
      <c r="G239" s="185"/>
      <c r="H239" s="186"/>
      <c r="I239" s="81">
        <f t="shared" si="1"/>
        <v>0</v>
      </c>
      <c r="J239" s="86"/>
      <c r="K239" s="80"/>
      <c r="L239" s="185"/>
      <c r="M239" s="435"/>
      <c r="N239" s="412" t="s">
        <v>1314</v>
      </c>
      <c r="O239" s="412">
        <v>10.0</v>
      </c>
      <c r="P239" s="412">
        <v>4.0</v>
      </c>
      <c r="Q239" s="21" t="s">
        <v>1235</v>
      </c>
    </row>
    <row r="240">
      <c r="A240" s="107" t="s">
        <v>660</v>
      </c>
      <c r="B240" s="415" t="str">
        <f>HYPERLINK("http://codeforces.com/contest/604/problem/C","CF604-D2-C")</f>
        <v>CF604-D2-C</v>
      </c>
      <c r="C240" s="185"/>
      <c r="D240" s="185"/>
      <c r="E240" s="185"/>
      <c r="F240" s="185"/>
      <c r="G240" s="185"/>
      <c r="H240" s="186"/>
      <c r="I240" s="81">
        <f t="shared" si="1"/>
        <v>0</v>
      </c>
      <c r="J240" s="86"/>
      <c r="K240" s="80"/>
      <c r="L240" s="185"/>
      <c r="M240" s="107"/>
      <c r="N240" s="412" t="s">
        <v>1315</v>
      </c>
      <c r="O240" s="412">
        <v>10.0</v>
      </c>
      <c r="P240" s="412">
        <v>4.0</v>
      </c>
      <c r="Q240" s="21" t="s">
        <v>1235</v>
      </c>
    </row>
    <row r="241">
      <c r="A241" s="107" t="s">
        <v>709</v>
      </c>
      <c r="B241" s="415" t="str">
        <f>HYPERLINK("https://uva.onlinejudge.org/index.php?option=com_onlinejudge&amp;Itemid=8&amp;page=show_problem&amp;problem=1680","UVA 10739")</f>
        <v>UVA 10739</v>
      </c>
      <c r="C241" s="185"/>
      <c r="D241" s="185"/>
      <c r="E241" s="185"/>
      <c r="F241" s="185"/>
      <c r="G241" s="185"/>
      <c r="H241" s="186"/>
      <c r="I241" s="81">
        <f t="shared" si="1"/>
        <v>0</v>
      </c>
      <c r="J241" s="86"/>
      <c r="K241" s="80"/>
      <c r="L241" s="185"/>
      <c r="M241" s="129" t="s">
        <v>620</v>
      </c>
      <c r="N241" s="412" t="s">
        <v>1311</v>
      </c>
      <c r="O241" s="412">
        <v>10.0</v>
      </c>
      <c r="P241" s="412">
        <v>4.0</v>
      </c>
    </row>
    <row r="242">
      <c r="A242" s="107" t="s">
        <v>710</v>
      </c>
      <c r="B242" s="415" t="str">
        <f>HYPERLINK("https://uva.onlinejudge.org/index.php?option=onlinejudge&amp;page=show_problem&amp;problem=1760","UVA 10819")</f>
        <v>UVA 10819</v>
      </c>
      <c r="C242" s="185"/>
      <c r="D242" s="185"/>
      <c r="E242" s="185"/>
      <c r="F242" s="185"/>
      <c r="G242" s="185"/>
      <c r="H242" s="186"/>
      <c r="I242" s="81">
        <f t="shared" si="1"/>
        <v>0</v>
      </c>
      <c r="J242" s="86"/>
      <c r="K242" s="80"/>
      <c r="L242" s="185"/>
      <c r="M242" s="257"/>
      <c r="N242" s="412" t="s">
        <v>1316</v>
      </c>
      <c r="O242" s="412">
        <v>10.0</v>
      </c>
      <c r="P242" s="412">
        <v>4.0</v>
      </c>
    </row>
    <row r="243">
      <c r="A243" s="107" t="s">
        <v>438</v>
      </c>
      <c r="B243" s="415" t="str">
        <f>HYPERLINK("http://codeforces.com/contest/545/problem/C","CF545-D2-C")</f>
        <v>CF545-D2-C</v>
      </c>
      <c r="C243" s="185"/>
      <c r="D243" s="185"/>
      <c r="E243" s="185"/>
      <c r="F243" s="185"/>
      <c r="G243" s="185"/>
      <c r="H243" s="186"/>
      <c r="I243" s="81">
        <f t="shared" si="1"/>
        <v>0</v>
      </c>
      <c r="J243" s="86"/>
      <c r="K243" s="80"/>
      <c r="L243" s="185"/>
      <c r="M243" s="430"/>
      <c r="N243" s="412" t="s">
        <v>1317</v>
      </c>
      <c r="O243" s="412">
        <v>10.0</v>
      </c>
      <c r="P243" s="412">
        <v>4.0</v>
      </c>
    </row>
    <row r="244">
      <c r="A244" s="107" t="s">
        <v>805</v>
      </c>
      <c r="B244" s="415" t="str">
        <f>HYPERLINK("https://uva.onlinejudge.org/index.php?option=com_onlinejudge&amp;Itemid=8&amp;page=show_problem&amp;problem=1139","UVA 10198")</f>
        <v>UVA 10198</v>
      </c>
      <c r="C244" s="185"/>
      <c r="D244" s="185"/>
      <c r="E244" s="185"/>
      <c r="F244" s="185"/>
      <c r="G244" s="185"/>
      <c r="H244" s="186"/>
      <c r="I244" s="81">
        <f t="shared" si="1"/>
        <v>0</v>
      </c>
      <c r="J244" s="86"/>
      <c r="K244" s="80"/>
      <c r="L244" s="185"/>
      <c r="M244" s="439"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412" t="s">
        <v>1318</v>
      </c>
      <c r="O244" s="412">
        <v>10.0</v>
      </c>
      <c r="P244" s="412">
        <v>4.0</v>
      </c>
    </row>
    <row r="245">
      <c r="A245" s="107" t="s">
        <v>1019</v>
      </c>
      <c r="B245" s="415" t="str">
        <f>HYPERLINK("http://codeforces.com/contest/489/problem/C","CF489-D2-C")</f>
        <v>CF489-D2-C</v>
      </c>
      <c r="C245" s="185"/>
      <c r="D245" s="185"/>
      <c r="E245" s="185"/>
      <c r="F245" s="185"/>
      <c r="G245" s="185"/>
      <c r="H245" s="186"/>
      <c r="I245" s="81">
        <f t="shared" si="1"/>
        <v>0</v>
      </c>
      <c r="J245" s="86"/>
      <c r="K245" s="80"/>
      <c r="L245" s="185"/>
      <c r="M245" s="107"/>
      <c r="N245" s="412" t="s">
        <v>1319</v>
      </c>
      <c r="O245" s="412">
        <v>10.0</v>
      </c>
      <c r="P245" s="412">
        <v>4.0</v>
      </c>
    </row>
    <row r="246">
      <c r="A246" s="107" t="s">
        <v>708</v>
      </c>
      <c r="B246" s="415" t="str">
        <f>HYPERLINK("https://uva.onlinejudge.org/index.php?option=com_onlinejudge&amp;Itemid=8&amp;page=show_problem&amp;problem=438","UVA 497")</f>
        <v>UVA 497</v>
      </c>
      <c r="C246" s="185"/>
      <c r="D246" s="185"/>
      <c r="E246" s="185"/>
      <c r="F246" s="185"/>
      <c r="G246" s="185"/>
      <c r="H246" s="186"/>
      <c r="I246" s="81">
        <f t="shared" si="1"/>
        <v>0</v>
      </c>
      <c r="J246" s="86"/>
      <c r="K246" s="80"/>
      <c r="L246" s="185"/>
      <c r="M246" s="438" t="s">
        <v>620</v>
      </c>
      <c r="N246" s="412" t="s">
        <v>1320</v>
      </c>
      <c r="O246" s="412">
        <v>10.0</v>
      </c>
      <c r="P246" s="412">
        <v>4.0</v>
      </c>
    </row>
    <row r="247">
      <c r="A247" s="107" t="s">
        <v>644</v>
      </c>
      <c r="B247" s="415" t="str">
        <f>HYPERLINK("http://codeforces.com/contest/706/problem/C","CF706-D2-C")</f>
        <v>CF706-D2-C</v>
      </c>
      <c r="C247" s="185"/>
      <c r="D247" s="185"/>
      <c r="E247" s="185"/>
      <c r="F247" s="185"/>
      <c r="G247" s="185"/>
      <c r="H247" s="186"/>
      <c r="I247" s="81">
        <f t="shared" si="1"/>
        <v>0</v>
      </c>
      <c r="J247" s="86"/>
      <c r="K247" s="80"/>
      <c r="L247" s="185"/>
      <c r="M247" s="428"/>
      <c r="N247" s="412" t="s">
        <v>1311</v>
      </c>
      <c r="O247" s="412">
        <v>10.0</v>
      </c>
      <c r="P247" s="412">
        <v>4.5</v>
      </c>
      <c r="Q247" s="21" t="s">
        <v>1231</v>
      </c>
    </row>
    <row r="248">
      <c r="A248" s="107" t="s">
        <v>705</v>
      </c>
      <c r="B248" s="415" t="str">
        <f>HYPERLINK("http://codeforces.com/contest/456/problem/C","CF456-D2-C")</f>
        <v>CF456-D2-C</v>
      </c>
      <c r="C248" s="185"/>
      <c r="D248" s="185"/>
      <c r="E248" s="185"/>
      <c r="F248" s="185"/>
      <c r="G248" s="185"/>
      <c r="H248" s="186"/>
      <c r="I248" s="81">
        <f t="shared" si="1"/>
        <v>0</v>
      </c>
      <c r="J248" s="86"/>
      <c r="K248" s="80"/>
      <c r="L248" s="185"/>
      <c r="M248" s="246"/>
      <c r="N248" s="412" t="s">
        <v>1311</v>
      </c>
      <c r="O248" s="412">
        <v>10.0</v>
      </c>
      <c r="P248" s="412">
        <v>4.5</v>
      </c>
    </row>
    <row r="249">
      <c r="A249" s="107" t="s">
        <v>756</v>
      </c>
      <c r="B249" s="415" t="str">
        <f>HYPERLINK("http://codeforces.com/contest/711/problem/C","CF711-D2-C")</f>
        <v>CF711-D2-C</v>
      </c>
      <c r="C249" s="185"/>
      <c r="D249" s="185"/>
      <c r="E249" s="185"/>
      <c r="F249" s="185"/>
      <c r="G249" s="185"/>
      <c r="H249" s="186"/>
      <c r="I249" s="81">
        <f t="shared" si="1"/>
        <v>0</v>
      </c>
      <c r="J249" s="86"/>
      <c r="K249" s="80"/>
      <c r="L249" s="120"/>
      <c r="M249" s="418" t="str">
        <f>HYPERLINK("https://www.youtube.com/watch?v=aYERNlE7KLU","Video Solution - Solver to be")</f>
        <v>Video Solution - Solver to be</v>
      </c>
      <c r="N249" s="412" t="s">
        <v>1311</v>
      </c>
      <c r="O249" s="412">
        <v>10.0</v>
      </c>
      <c r="P249" s="412">
        <v>4.5</v>
      </c>
    </row>
    <row r="250">
      <c r="A250" s="107" t="s">
        <v>635</v>
      </c>
      <c r="B250" s="415" t="str">
        <f>HYPERLINK("https://uva.onlinejudge.org/index.php?option=com_onlinejudge&amp;Itemid=8&amp;page=show_problem&amp;problem=1558","UVA 10617")</f>
        <v>UVA 10617</v>
      </c>
      <c r="C250" s="185"/>
      <c r="D250" s="185"/>
      <c r="E250" s="185"/>
      <c r="F250" s="185"/>
      <c r="G250" s="185"/>
      <c r="H250" s="186"/>
      <c r="I250" s="81">
        <f t="shared" si="1"/>
        <v>0</v>
      </c>
      <c r="J250" s="86"/>
      <c r="K250" s="80"/>
      <c r="L250" s="185"/>
      <c r="M250" s="219" t="str">
        <f>HYPERLINK("https://github.com/magdy-hasan/competitive-programming/blob/master/uva-/uva%2010617%20-%20Again%20Palindrome.cpp","Sol to read")</f>
        <v>Sol to read</v>
      </c>
      <c r="N250" s="412" t="s">
        <v>1311</v>
      </c>
      <c r="O250" s="412">
        <v>10.0</v>
      </c>
      <c r="P250" s="412">
        <v>4.5</v>
      </c>
    </row>
    <row r="251">
      <c r="A251" s="107" t="s">
        <v>1021</v>
      </c>
      <c r="B251" s="415" t="str">
        <f>HYPERLINK("https://uva.onlinejudge.org/index.php?option=onlinejudge&amp;page=show_problem&amp;problem=548","UVA 607")</f>
        <v>UVA 607</v>
      </c>
      <c r="C251" s="185"/>
      <c r="D251" s="185"/>
      <c r="E251" s="185"/>
      <c r="F251" s="185"/>
      <c r="G251" s="185"/>
      <c r="H251" s="186"/>
      <c r="I251" s="81">
        <f t="shared" si="1"/>
        <v>0</v>
      </c>
      <c r="J251" s="86"/>
      <c r="K251" s="80"/>
      <c r="L251" s="434"/>
      <c r="M251" s="432" t="str">
        <f>HYPERLINK("https://github.com/MichaelMounir12/CompetitiveProgramming/blob/69c0dba2b0b29083ebad94dfd18be25dcf903235/UVA/UVA_607.cpp","Sol")</f>
        <v>Sol</v>
      </c>
      <c r="N251" s="412" t="s">
        <v>1311</v>
      </c>
      <c r="O251" s="412">
        <v>10.0</v>
      </c>
      <c r="P251" s="412">
        <v>4.5</v>
      </c>
    </row>
    <row r="252">
      <c r="A252" s="107" t="s">
        <v>665</v>
      </c>
      <c r="B252" s="415" t="str">
        <f>HYPERLINK("http://codeforces.com/contest/792/problem/C","CF792-D2-C")</f>
        <v>CF792-D2-C</v>
      </c>
      <c r="C252" s="185"/>
      <c r="D252" s="185"/>
      <c r="E252" s="185"/>
      <c r="F252" s="185"/>
      <c r="G252" s="185"/>
      <c r="H252" s="186"/>
      <c r="I252" s="81">
        <f t="shared" si="1"/>
        <v>0</v>
      </c>
      <c r="J252" s="86"/>
      <c r="K252" s="80"/>
      <c r="L252" s="185"/>
      <c r="M252" s="418" t="str">
        <f>HYPERLINK("https://www.youtube.com/watch?v=BgG5sjJslYk","Video Solution - Solver to be (Java)")</f>
        <v>Video Solution - Solver to be (Java)</v>
      </c>
      <c r="N252" s="412" t="s">
        <v>1321</v>
      </c>
      <c r="O252" s="412">
        <v>10.0</v>
      </c>
      <c r="P252" s="412">
        <v>4.5</v>
      </c>
    </row>
    <row r="253">
      <c r="A253" s="107" t="s">
        <v>956</v>
      </c>
      <c r="B253" s="415" t="str">
        <f>HYPERLINK("https://uva.onlinejudge.org/index.php?option=com_onlinejudge&amp;Itemid=8&amp;page=show_problem&amp;problem=1475","UVA 10534")</f>
        <v>UVA 10534</v>
      </c>
      <c r="C253" s="185"/>
      <c r="D253" s="185"/>
      <c r="E253" s="185"/>
      <c r="F253" s="185"/>
      <c r="G253" s="185"/>
      <c r="H253" s="186"/>
      <c r="I253" s="81">
        <f t="shared" si="1"/>
        <v>0</v>
      </c>
      <c r="J253" s="120"/>
      <c r="K253" s="185"/>
      <c r="L253" s="185"/>
      <c r="M253" s="202" t="str">
        <f>HYPERLINK("https://github.com/AliOsm/CompetitiveProgramming/blob/master/UVA/10534%20-%20Wavio%20Sequence.cpp","Sol")</f>
        <v>Sol</v>
      </c>
      <c r="N253" s="412" t="s">
        <v>1322</v>
      </c>
      <c r="O253" s="412">
        <v>10.0</v>
      </c>
      <c r="P253" s="412">
        <v>5.0</v>
      </c>
      <c r="Q253" s="21" t="s">
        <v>1237</v>
      </c>
    </row>
    <row r="254">
      <c r="A254" s="107" t="s">
        <v>946</v>
      </c>
      <c r="B254" s="415" t="str">
        <f>HYPERLINK("http://codeforces.com/contest/265/problem/D","CF265-D2-D")</f>
        <v>CF265-D2-D</v>
      </c>
      <c r="C254" s="185"/>
      <c r="D254" s="185"/>
      <c r="E254" s="185"/>
      <c r="F254" s="185"/>
      <c r="G254" s="185"/>
      <c r="H254" s="186"/>
      <c r="I254" s="81">
        <f t="shared" si="1"/>
        <v>0</v>
      </c>
      <c r="J254" s="126"/>
      <c r="K254" s="125"/>
      <c r="L254" s="185"/>
      <c r="M254" s="430"/>
      <c r="N254" s="412" t="s">
        <v>1323</v>
      </c>
      <c r="O254" s="412">
        <v>10.0</v>
      </c>
      <c r="P254" s="412">
        <v>5.0</v>
      </c>
      <c r="Q254" s="21" t="s">
        <v>1237</v>
      </c>
    </row>
    <row r="255">
      <c r="A255" s="107" t="s">
        <v>1168</v>
      </c>
      <c r="B255" s="415" t="str">
        <f>HYPERLINK("http://codeforces.com/contest/366/problem/C","CF366-D2-C")</f>
        <v>CF366-D2-C</v>
      </c>
      <c r="C255" s="185"/>
      <c r="D255" s="185"/>
      <c r="E255" s="185"/>
      <c r="F255" s="185"/>
      <c r="G255" s="185"/>
      <c r="H255" s="186"/>
      <c r="I255" s="81">
        <f t="shared" si="1"/>
        <v>0</v>
      </c>
      <c r="J255" s="86"/>
      <c r="K255" s="80"/>
      <c r="L255" s="434"/>
      <c r="M255" s="430"/>
      <c r="N255" s="412" t="s">
        <v>1324</v>
      </c>
      <c r="O255" s="412">
        <v>10.0</v>
      </c>
      <c r="P255" s="412">
        <v>5.0</v>
      </c>
      <c r="Q255" s="21" t="s">
        <v>1235</v>
      </c>
    </row>
    <row r="256">
      <c r="A256" s="107"/>
      <c r="B256" s="415" t="str">
        <f>HYPERLINK("http://codeforces.com/contest/101/problem/B","CF101-D1-B")</f>
        <v>CF101-D1-B</v>
      </c>
      <c r="C256" s="185"/>
      <c r="D256" s="185"/>
      <c r="E256" s="185"/>
      <c r="F256" s="185"/>
      <c r="G256" s="185"/>
      <c r="H256" s="186"/>
      <c r="I256" s="81">
        <f t="shared" si="1"/>
        <v>0</v>
      </c>
      <c r="J256" s="86"/>
      <c r="K256" s="80"/>
      <c r="L256" s="185"/>
      <c r="M256" s="432" t="str">
        <f>HYPERLINK("https://github.com/Huvok/CompetitiveProgramming/blob/master/Codeforces/CF101-D1-B.cpp","Sol")</f>
        <v>Sol</v>
      </c>
      <c r="N256" s="412" t="s">
        <v>1325</v>
      </c>
      <c r="O256" s="412">
        <v>10.0</v>
      </c>
      <c r="P256" s="412">
        <v>5.0</v>
      </c>
      <c r="Q256" s="21" t="s">
        <v>1235</v>
      </c>
    </row>
    <row r="257">
      <c r="A257" s="107" t="s">
        <v>1138</v>
      </c>
      <c r="B257" s="415" t="str">
        <f>HYPERLINK("http://codeforces.com/contest/340/problem/D","CF340-D2-D")</f>
        <v>CF340-D2-D</v>
      </c>
      <c r="C257" s="185"/>
      <c r="D257" s="185"/>
      <c r="E257" s="185"/>
      <c r="F257" s="185"/>
      <c r="G257" s="185"/>
      <c r="H257" s="186"/>
      <c r="I257" s="81">
        <f t="shared" si="1"/>
        <v>0</v>
      </c>
      <c r="J257" s="126"/>
      <c r="K257" s="125"/>
      <c r="L257" s="434"/>
      <c r="M257" s="430"/>
      <c r="N257" s="412" t="s">
        <v>1326</v>
      </c>
      <c r="O257" s="412">
        <v>10.0</v>
      </c>
      <c r="P257" s="412">
        <v>5.0</v>
      </c>
      <c r="Q257" s="21" t="s">
        <v>1235</v>
      </c>
    </row>
    <row r="258">
      <c r="A258" s="107"/>
      <c r="B258" s="415" t="str">
        <f>HYPERLINK("http://codeforces.com/contest/506/problem/A", "CF506-D1-A")</f>
        <v>CF506-D1-A</v>
      </c>
      <c r="C258" s="185"/>
      <c r="D258" s="185"/>
      <c r="E258" s="185"/>
      <c r="F258" s="185"/>
      <c r="G258" s="185"/>
      <c r="H258" s="186"/>
      <c r="I258" s="81">
        <f t="shared" si="1"/>
        <v>0</v>
      </c>
      <c r="J258" s="126"/>
      <c r="K258" s="125"/>
      <c r="L258" s="185"/>
      <c r="M258" s="424"/>
      <c r="N258" s="412" t="s">
        <v>1327</v>
      </c>
      <c r="O258" s="412">
        <v>10.0</v>
      </c>
      <c r="P258" s="412">
        <v>5.0</v>
      </c>
      <c r="Q258" s="21" t="s">
        <v>1235</v>
      </c>
    </row>
    <row r="259">
      <c r="A259" s="107" t="s">
        <v>439</v>
      </c>
      <c r="B259" s="415" t="str">
        <f>HYPERLINK("http://codeforces.com/contest/225/problem/C","CF225-D2-C")</f>
        <v>CF225-D2-C</v>
      </c>
      <c r="C259" s="185"/>
      <c r="D259" s="185"/>
      <c r="E259" s="185"/>
      <c r="F259" s="185"/>
      <c r="G259" s="185"/>
      <c r="H259" s="186"/>
      <c r="I259" s="81">
        <f t="shared" si="1"/>
        <v>0</v>
      </c>
      <c r="J259" s="86"/>
      <c r="K259" s="80"/>
      <c r="L259" s="185"/>
      <c r="M259" s="418" t="str">
        <f>HYPERLINK("https://www.youtube.com/watch?v=O7Tja1S5IYQ","Video Solution - Dr Mostafa Saad")</f>
        <v>Video Solution - Dr Mostafa Saad</v>
      </c>
      <c r="N259" s="412" t="s">
        <v>1311</v>
      </c>
      <c r="O259" s="412">
        <v>10.0</v>
      </c>
      <c r="P259" s="412">
        <v>5.0</v>
      </c>
    </row>
    <row r="260">
      <c r="A260" s="107" t="s">
        <v>437</v>
      </c>
      <c r="B260" s="415" t="str">
        <f>HYPERLINK("http://codeforces.com/contest/699/problem/C","CF699-D2-C")</f>
        <v>CF699-D2-C</v>
      </c>
      <c r="C260" s="185"/>
      <c r="D260" s="185"/>
      <c r="E260" s="185"/>
      <c r="F260" s="185"/>
      <c r="G260" s="185"/>
      <c r="H260" s="186"/>
      <c r="I260" s="81">
        <f t="shared" si="1"/>
        <v>0</v>
      </c>
      <c r="J260" s="86"/>
      <c r="K260" s="80"/>
      <c r="L260" s="185"/>
      <c r="M260" s="431"/>
      <c r="N260" s="412" t="s">
        <v>1311</v>
      </c>
      <c r="O260" s="412">
        <v>10.0</v>
      </c>
      <c r="P260" s="412">
        <v>5.0</v>
      </c>
    </row>
    <row r="261">
      <c r="A261" s="107" t="s">
        <v>1039</v>
      </c>
      <c r="B261" s="415" t="str">
        <f>HYPERLINK("http://codeforces.com/contest/270/problem/D","CF270-D2-D")</f>
        <v>CF270-D2-D</v>
      </c>
      <c r="C261" s="185"/>
      <c r="D261" s="185"/>
      <c r="E261" s="185"/>
      <c r="F261" s="185"/>
      <c r="G261" s="185"/>
      <c r="H261" s="186"/>
      <c r="I261" s="81">
        <f t="shared" si="1"/>
        <v>0</v>
      </c>
      <c r="J261" s="126"/>
      <c r="K261" s="125"/>
      <c r="L261" s="185"/>
      <c r="M261" s="430"/>
      <c r="N261" s="412" t="s">
        <v>1328</v>
      </c>
      <c r="O261" s="412">
        <v>10.0</v>
      </c>
      <c r="P261" s="412">
        <v>5.0</v>
      </c>
    </row>
    <row r="262">
      <c r="A262" s="107" t="s">
        <v>820</v>
      </c>
      <c r="B262" s="415" t="str">
        <f>HYPERLINK("http://codeforces.com/contest/721/problem/C","CF721-D2-C")</f>
        <v>CF721-D2-C</v>
      </c>
      <c r="C262" s="185"/>
      <c r="D262" s="185"/>
      <c r="E262" s="185"/>
      <c r="F262" s="185"/>
      <c r="G262" s="185"/>
      <c r="H262" s="186"/>
      <c r="I262" s="81">
        <f t="shared" si="1"/>
        <v>0</v>
      </c>
      <c r="J262" s="86"/>
      <c r="K262" s="80"/>
      <c r="L262" s="185"/>
      <c r="M262" s="257"/>
      <c r="N262" s="412" t="s">
        <v>1329</v>
      </c>
      <c r="O262" s="412">
        <v>10.0</v>
      </c>
      <c r="P262" s="412">
        <v>5.0</v>
      </c>
      <c r="Q262" s="21" t="s">
        <v>1235</v>
      </c>
    </row>
    <row r="263">
      <c r="A263" s="107"/>
      <c r="B263" s="415" t="str">
        <f>HYPERLINK("http://codeforces.com/contest/264/problem/C","CF264-D1-C")</f>
        <v>CF264-D1-C</v>
      </c>
      <c r="C263" s="185"/>
      <c r="D263" s="185"/>
      <c r="E263" s="185"/>
      <c r="F263" s="185"/>
      <c r="G263" s="185"/>
      <c r="H263" s="186"/>
      <c r="I263" s="81">
        <f t="shared" si="1"/>
        <v>0</v>
      </c>
      <c r="J263" s="126"/>
      <c r="K263" s="125"/>
      <c r="L263" s="185"/>
      <c r="M263" s="424"/>
      <c r="N263" s="412" t="s">
        <v>1330</v>
      </c>
      <c r="O263" s="412">
        <v>10.0</v>
      </c>
      <c r="P263" s="412">
        <v>5.5</v>
      </c>
      <c r="Q263" s="21" t="s">
        <v>1262</v>
      </c>
    </row>
    <row r="264">
      <c r="A264" s="107" t="s">
        <v>1034</v>
      </c>
      <c r="B264" s="415" t="str">
        <f>HYPERLINK("http://codeforces.com/contest/284/problem/D","CF284-D2-D")</f>
        <v>CF284-D2-D</v>
      </c>
      <c r="C264" s="185"/>
      <c r="D264" s="185"/>
      <c r="E264" s="185"/>
      <c r="F264" s="185"/>
      <c r="G264" s="185"/>
      <c r="H264" s="186"/>
      <c r="I264" s="81">
        <f t="shared" si="1"/>
        <v>0</v>
      </c>
      <c r="J264" s="126"/>
      <c r="K264" s="125"/>
      <c r="L264" s="185"/>
      <c r="M264" s="430"/>
      <c r="N264" s="412" t="s">
        <v>1331</v>
      </c>
      <c r="O264" s="412">
        <v>10.0</v>
      </c>
      <c r="P264" s="412">
        <v>5.5</v>
      </c>
      <c r="Q264" s="21" t="s">
        <v>1237</v>
      </c>
    </row>
    <row r="265">
      <c r="A265" s="107"/>
      <c r="B265" s="415" t="str">
        <f>HYPERLINK("https://codeforces.com/contest/1066/problem/F","CF1066-D3-F")</f>
        <v>CF1066-D3-F</v>
      </c>
      <c r="C265" s="185"/>
      <c r="D265" s="185"/>
      <c r="E265" s="185"/>
      <c r="F265" s="185"/>
      <c r="G265" s="185"/>
      <c r="H265" s="186"/>
      <c r="I265" s="81">
        <f t="shared" si="1"/>
        <v>0</v>
      </c>
      <c r="J265" s="86"/>
      <c r="K265" s="80"/>
      <c r="L265" s="185"/>
      <c r="M265" s="435"/>
      <c r="N265" s="412" t="s">
        <v>1332</v>
      </c>
      <c r="O265" s="412">
        <v>10.0</v>
      </c>
      <c r="P265" s="412">
        <v>5.5</v>
      </c>
      <c r="Q265" s="21" t="s">
        <v>1237</v>
      </c>
    </row>
    <row r="266">
      <c r="A266" s="107" t="s">
        <v>638</v>
      </c>
      <c r="B266" s="415" t="str">
        <f>HYPERLINK("https://uva.onlinejudge.org/index.php?option=com_onlinejudge&amp;Itemid=8&amp;page=show_problem&amp;problem=284","UVA 348")</f>
        <v>UVA 348</v>
      </c>
      <c r="C266" s="185"/>
      <c r="D266" s="185"/>
      <c r="E266" s="185"/>
      <c r="F266" s="185"/>
      <c r="G266" s="185"/>
      <c r="H266" s="186"/>
      <c r="I266" s="81">
        <f t="shared" si="1"/>
        <v>0</v>
      </c>
      <c r="J266" s="86"/>
      <c r="K266" s="80"/>
      <c r="L266" s="185"/>
      <c r="M266" s="432" t="str">
        <f>HYPERLINK("https://github.com/mostafa-saad/MyCompetitiveProgramming/blob/master/UVA/UVA_348.txt","Sol")</f>
        <v>Sol</v>
      </c>
      <c r="N266" s="412" t="s">
        <v>1333</v>
      </c>
      <c r="O266" s="412">
        <v>10.0</v>
      </c>
      <c r="P266" s="412">
        <v>5.5</v>
      </c>
      <c r="Q266" s="21" t="s">
        <v>1237</v>
      </c>
    </row>
    <row r="267">
      <c r="A267" s="107"/>
      <c r="B267" s="107" t="s">
        <v>882</v>
      </c>
      <c r="C267" s="185"/>
      <c r="D267" s="185"/>
      <c r="E267" s="185"/>
      <c r="F267" s="185"/>
      <c r="G267" s="185"/>
      <c r="H267" s="186"/>
      <c r="I267" s="81">
        <f t="shared" si="1"/>
        <v>0</v>
      </c>
      <c r="J267" s="86"/>
      <c r="K267" s="80"/>
      <c r="L267" s="185"/>
      <c r="M267" s="428"/>
      <c r="N267" s="412" t="s">
        <v>1334</v>
      </c>
      <c r="O267" s="412">
        <v>10.0</v>
      </c>
      <c r="P267" s="412">
        <v>5.5</v>
      </c>
      <c r="Q267" s="21" t="s">
        <v>1237</v>
      </c>
    </row>
    <row r="268">
      <c r="A268" s="107" t="s">
        <v>1163</v>
      </c>
      <c r="B268" s="415" t="str">
        <f>HYPERLINK("http://codeforces.com/contest/313/problem/D","CF313-D2-D")</f>
        <v>CF313-D2-D</v>
      </c>
      <c r="C268" s="185"/>
      <c r="D268" s="185"/>
      <c r="E268" s="185"/>
      <c r="F268" s="185"/>
      <c r="G268" s="185"/>
      <c r="H268" s="186"/>
      <c r="I268" s="81">
        <f t="shared" si="1"/>
        <v>0</v>
      </c>
      <c r="J268" s="120"/>
      <c r="K268" s="185"/>
      <c r="L268" s="434"/>
      <c r="M268" s="430"/>
      <c r="N268" s="412" t="s">
        <v>1335</v>
      </c>
      <c r="O268" s="412">
        <v>10.0</v>
      </c>
      <c r="P268" s="412">
        <v>5.5</v>
      </c>
      <c r="Q268" s="21" t="s">
        <v>1237</v>
      </c>
    </row>
    <row r="269">
      <c r="A269" s="107"/>
      <c r="B269" s="107" t="s">
        <v>1096</v>
      </c>
      <c r="C269" s="185"/>
      <c r="D269" s="185"/>
      <c r="E269" s="185"/>
      <c r="F269" s="185"/>
      <c r="G269" s="185"/>
      <c r="H269" s="186"/>
      <c r="I269" s="81">
        <f t="shared" si="1"/>
        <v>0</v>
      </c>
      <c r="J269" s="126"/>
      <c r="K269" s="125"/>
      <c r="L269" s="185"/>
      <c r="M269" s="430"/>
      <c r="N269" s="412" t="s">
        <v>1336</v>
      </c>
      <c r="O269" s="412">
        <v>10.0</v>
      </c>
      <c r="P269" s="412">
        <v>5.5</v>
      </c>
      <c r="Q269" s="21" t="s">
        <v>1235</v>
      </c>
    </row>
    <row r="270">
      <c r="A270" s="107" t="s">
        <v>1054</v>
      </c>
      <c r="B270" s="415" t="str">
        <f>HYPERLINK("http://codeforces.com/contest/149/problem/D","CF149-D2-D")</f>
        <v>CF149-D2-D</v>
      </c>
      <c r="C270" s="185"/>
      <c r="D270" s="185"/>
      <c r="E270" s="185"/>
      <c r="F270" s="185"/>
      <c r="G270" s="185"/>
      <c r="H270" s="186"/>
      <c r="I270" s="81">
        <f t="shared" si="1"/>
        <v>0</v>
      </c>
      <c r="J270" s="120"/>
      <c r="K270" s="185"/>
      <c r="L270" s="434"/>
      <c r="M270" s="432" t="str">
        <f>HYPERLINK("https://github.com/osamahatem/CompetitiveProgramming/blob/master/Codeforces/149D.%20Coloring%20Brackets.cpp","Sol")</f>
        <v>Sol</v>
      </c>
      <c r="N270" s="412" t="s">
        <v>1337</v>
      </c>
      <c r="O270" s="412">
        <v>10.0</v>
      </c>
      <c r="P270" s="412">
        <v>5.5</v>
      </c>
      <c r="Q270" s="21" t="s">
        <v>1235</v>
      </c>
    </row>
    <row r="271">
      <c r="A271" s="107"/>
      <c r="B271" s="415" t="str">
        <f>HYPERLINK("http://codeforces.com/contest/1012/problem/C","CF1012-D1-C")</f>
        <v>CF1012-D1-C</v>
      </c>
      <c r="C271" s="185"/>
      <c r="D271" s="185"/>
      <c r="E271" s="185"/>
      <c r="F271" s="185"/>
      <c r="G271" s="185"/>
      <c r="H271" s="186"/>
      <c r="I271" s="81">
        <f t="shared" si="1"/>
        <v>0</v>
      </c>
      <c r="J271" s="86"/>
      <c r="K271" s="80"/>
      <c r="L271" s="434"/>
      <c r="M271" s="435"/>
      <c r="N271" s="412" t="s">
        <v>1330</v>
      </c>
      <c r="O271" s="412">
        <v>10.0</v>
      </c>
      <c r="P271" s="412">
        <v>5.5</v>
      </c>
      <c r="Q271" s="21" t="s">
        <v>1235</v>
      </c>
    </row>
    <row r="272">
      <c r="A272" s="107"/>
      <c r="B272" s="415" t="str">
        <f>HYPERLINK("http://codeforces.com/contest/623/problem/B","CF623-D1-B")</f>
        <v>CF623-D1-B</v>
      </c>
      <c r="C272" s="185"/>
      <c r="D272" s="185"/>
      <c r="E272" s="185"/>
      <c r="F272" s="185"/>
      <c r="G272" s="185"/>
      <c r="H272" s="186"/>
      <c r="I272" s="81">
        <f t="shared" si="1"/>
        <v>0</v>
      </c>
      <c r="J272" s="126"/>
      <c r="K272" s="125"/>
      <c r="L272" s="185"/>
      <c r="M272" s="424"/>
      <c r="N272" s="412" t="s">
        <v>1338</v>
      </c>
      <c r="O272" s="412">
        <v>10.0</v>
      </c>
      <c r="P272" s="412">
        <v>5.75</v>
      </c>
      <c r="Q272" s="21" t="s">
        <v>1262</v>
      </c>
    </row>
    <row r="273">
      <c r="A273" s="107"/>
      <c r="B273" s="415" t="str">
        <f>HYPERLINK("http://codeforces.com/contest/1071/problem/B","CF1072-D2-D")</f>
        <v>CF1072-D2-D</v>
      </c>
      <c r="C273" s="185"/>
      <c r="D273" s="185"/>
      <c r="E273" s="185"/>
      <c r="F273" s="185"/>
      <c r="G273" s="185"/>
      <c r="H273" s="186"/>
      <c r="I273" s="81">
        <f t="shared" si="1"/>
        <v>0</v>
      </c>
      <c r="J273" s="126"/>
      <c r="K273" s="125"/>
      <c r="L273" s="185"/>
      <c r="M273" s="430"/>
      <c r="N273" s="412" t="s">
        <v>1339</v>
      </c>
      <c r="O273" s="412">
        <v>10.0</v>
      </c>
      <c r="P273" s="412">
        <v>5.75</v>
      </c>
      <c r="Q273" s="21" t="s">
        <v>1237</v>
      </c>
    </row>
    <row r="274">
      <c r="A274" s="107"/>
      <c r="B274" s="415" t="str">
        <f>HYPERLINK("http://codeforces.com/contest/1025/problem/D","CF1025-D2-D")</f>
        <v>CF1025-D2-D</v>
      </c>
      <c r="C274" s="185"/>
      <c r="D274" s="185"/>
      <c r="E274" s="185"/>
      <c r="F274" s="185"/>
      <c r="G274" s="185"/>
      <c r="H274" s="186"/>
      <c r="I274" s="81">
        <f t="shared" si="1"/>
        <v>0</v>
      </c>
      <c r="J274" s="126"/>
      <c r="K274" s="125"/>
      <c r="L274" s="185"/>
      <c r="M274" s="430"/>
      <c r="N274" s="412" t="s">
        <v>1340</v>
      </c>
      <c r="O274" s="412">
        <v>10.0</v>
      </c>
      <c r="P274" s="412">
        <v>6.0</v>
      </c>
      <c r="Q274" s="21" t="s">
        <v>1235</v>
      </c>
    </row>
    <row r="275">
      <c r="A275" s="107"/>
      <c r="B275" s="415" t="str">
        <f>HYPERLINK("https://www.facebook.com/hackercup/problem/180494849326631/","FbHkrCup 18-R1-A")</f>
        <v>FbHkrCup 18-R1-A</v>
      </c>
      <c r="C275" s="185"/>
      <c r="D275" s="185"/>
      <c r="E275" s="185"/>
      <c r="F275" s="185"/>
      <c r="G275" s="185"/>
      <c r="H275" s="186"/>
      <c r="I275" s="81">
        <f t="shared" si="1"/>
        <v>0</v>
      </c>
      <c r="J275" s="86"/>
      <c r="K275" s="80"/>
      <c r="L275" s="185"/>
      <c r="M275" s="435"/>
      <c r="N275" s="412" t="s">
        <v>1341</v>
      </c>
      <c r="O275" s="412">
        <v>11.0</v>
      </c>
      <c r="P275" s="412">
        <v>5.0</v>
      </c>
      <c r="Q275" s="21" t="s">
        <v>1235</v>
      </c>
    </row>
    <row r="276">
      <c r="A276" s="107" t="s">
        <v>951</v>
      </c>
      <c r="B276" s="415" t="str">
        <f>HYPERLINK("http://codeforces.com/contest/580/problem/D","CF580-D2-D")</f>
        <v>CF580-D2-D</v>
      </c>
      <c r="C276" s="185"/>
      <c r="D276" s="185"/>
      <c r="E276" s="185"/>
      <c r="F276" s="185"/>
      <c r="G276" s="185"/>
      <c r="H276" s="186"/>
      <c r="I276" s="81">
        <f t="shared" si="1"/>
        <v>0</v>
      </c>
      <c r="J276" s="120"/>
      <c r="K276" s="185"/>
      <c r="L276" s="185"/>
      <c r="M276" s="418" t="str">
        <f>HYPERLINK("https://www.youtube.com/watch?v=GvWLpm0tBEU&amp;index=29&amp;list=PLPSFnlxEu99Eds9cvJPk49sljXXvarTxM","Video Solution - Solver to be")</f>
        <v>Video Solution - Solver to be</v>
      </c>
      <c r="N276" s="412" t="s">
        <v>1342</v>
      </c>
      <c r="O276" s="412">
        <v>13.0</v>
      </c>
      <c r="P276" s="412">
        <v>4.0</v>
      </c>
      <c r="Q276" s="21" t="s">
        <v>1235</v>
      </c>
    </row>
    <row r="277">
      <c r="A277" s="107" t="s">
        <v>912</v>
      </c>
      <c r="B277" s="415" t="str">
        <f>HYPERLINK("http://www.spoj.com/problems/PERMUT1/","SPOJ PERMUT1")</f>
        <v>SPOJ PERMUT1</v>
      </c>
      <c r="C277" s="185"/>
      <c r="D277" s="185"/>
      <c r="E277" s="185"/>
      <c r="F277" s="185"/>
      <c r="G277" s="185"/>
      <c r="H277" s="186"/>
      <c r="I277" s="81">
        <f t="shared" si="1"/>
        <v>0</v>
      </c>
      <c r="J277" s="120"/>
      <c r="K277" s="185"/>
      <c r="L277" s="185"/>
      <c r="M277" s="430"/>
      <c r="N277" s="412" t="s">
        <v>1342</v>
      </c>
      <c r="O277" s="412">
        <v>13.0</v>
      </c>
      <c r="P277" s="412">
        <v>4.0</v>
      </c>
      <c r="Q277" s="21" t="s">
        <v>1235</v>
      </c>
    </row>
    <row r="278">
      <c r="A278" s="107" t="s">
        <v>952</v>
      </c>
      <c r="B278" s="415" t="str">
        <f>HYPERLINK("http://www.spoj.com/problems/ASSIGN/","SPOJ ASSIGN")</f>
        <v>SPOJ ASSIGN</v>
      </c>
      <c r="C278" s="185"/>
      <c r="D278" s="185"/>
      <c r="E278" s="185"/>
      <c r="F278" s="185"/>
      <c r="G278" s="185"/>
      <c r="H278" s="186"/>
      <c r="I278" s="81">
        <f t="shared" si="1"/>
        <v>0</v>
      </c>
      <c r="J278" s="126"/>
      <c r="K278" s="125"/>
      <c r="L278" s="185"/>
      <c r="M278" s="430"/>
      <c r="N278" s="412" t="s">
        <v>1342</v>
      </c>
      <c r="O278" s="412">
        <v>13.0</v>
      </c>
      <c r="P278" s="412">
        <v>4.0</v>
      </c>
      <c r="Q278" s="21" t="s">
        <v>1231</v>
      </c>
    </row>
    <row r="279">
      <c r="A279" s="107" t="s">
        <v>950</v>
      </c>
      <c r="B279" s="415" t="str">
        <f>HYPERLINK("https://uva.onlinejudge.org/index.php?option=com_onlinejudge&amp;Itemid=8&amp;page=show_problem&amp;problem=1592","UVA 10651")</f>
        <v>UVA 10651</v>
      </c>
      <c r="C279" s="185"/>
      <c r="D279" s="185"/>
      <c r="E279" s="185"/>
      <c r="F279" s="185"/>
      <c r="G279" s="185"/>
      <c r="H279" s="186"/>
      <c r="I279" s="81">
        <f t="shared" si="1"/>
        <v>0</v>
      </c>
      <c r="J279" s="120"/>
      <c r="K279" s="185"/>
      <c r="L279" s="185"/>
      <c r="M279" s="430"/>
      <c r="N279" s="412" t="s">
        <v>1342</v>
      </c>
      <c r="O279" s="412">
        <v>13.0</v>
      </c>
      <c r="P279" s="412">
        <v>4.0</v>
      </c>
      <c r="Q279" s="21" t="s">
        <v>1231</v>
      </c>
    </row>
    <row r="280">
      <c r="A280" s="107"/>
      <c r="B280" s="107" t="s">
        <v>921</v>
      </c>
      <c r="C280" s="185"/>
      <c r="D280" s="185"/>
      <c r="E280" s="185"/>
      <c r="F280" s="185"/>
      <c r="G280" s="185"/>
      <c r="H280" s="186"/>
      <c r="I280" s="81">
        <f t="shared" si="1"/>
        <v>0</v>
      </c>
      <c r="J280" s="126"/>
      <c r="K280" s="125"/>
      <c r="L280" s="185"/>
      <c r="M280" s="321" t="str">
        <f>HYPERLINK("https://github.com/ilyesG/Competitive-Programming/blob/master/UVA/UVA%2011825.cpp","Sol")</f>
        <v>Sol</v>
      </c>
      <c r="N280" s="412" t="s">
        <v>1343</v>
      </c>
      <c r="O280" s="412">
        <v>13.0</v>
      </c>
      <c r="P280" s="412">
        <v>5.0</v>
      </c>
      <c r="Q280" s="21" t="s">
        <v>1235</v>
      </c>
    </row>
    <row r="281">
      <c r="A281" s="107" t="s">
        <v>1184</v>
      </c>
      <c r="B281" s="107" t="s">
        <v>1185</v>
      </c>
      <c r="C281" s="185"/>
      <c r="D281" s="185"/>
      <c r="E281" s="185"/>
      <c r="F281" s="185"/>
      <c r="G281" s="185"/>
      <c r="H281" s="186"/>
      <c r="I281" s="81">
        <f t="shared" si="1"/>
        <v>0</v>
      </c>
      <c r="J281" s="120"/>
      <c r="K281" s="185"/>
      <c r="L281" s="434"/>
      <c r="M281" s="435"/>
      <c r="N281" s="412" t="s">
        <v>1344</v>
      </c>
      <c r="O281" s="412">
        <v>13.0</v>
      </c>
      <c r="P281" s="412">
        <v>5.0</v>
      </c>
    </row>
    <row r="282" ht="14.25" customHeight="1">
      <c r="A282" s="107" t="s">
        <v>1035</v>
      </c>
      <c r="B282" s="415" t="str">
        <f>HYPERLINK("http://codeforces.com/contest/431/problem/D","CF431-D2-D")</f>
        <v>CF431-D2-D</v>
      </c>
      <c r="C282" s="185"/>
      <c r="D282" s="185"/>
      <c r="E282" s="185"/>
      <c r="F282" s="185"/>
      <c r="G282" s="185"/>
      <c r="H282" s="186"/>
      <c r="I282" s="81">
        <f t="shared" si="1"/>
        <v>0</v>
      </c>
      <c r="J282" s="120"/>
      <c r="K282" s="185"/>
      <c r="L282" s="185"/>
      <c r="M282" s="430"/>
      <c r="N282" s="412" t="s">
        <v>1345</v>
      </c>
      <c r="O282" s="412">
        <v>13.0</v>
      </c>
      <c r="P282" s="412">
        <v>5.5</v>
      </c>
      <c r="Q282" s="21" t="s">
        <v>1237</v>
      </c>
    </row>
    <row r="283">
      <c r="A283" s="107" t="s">
        <v>1047</v>
      </c>
      <c r="B283" s="107" t="s">
        <v>1048</v>
      </c>
      <c r="C283" s="185"/>
      <c r="D283" s="185"/>
      <c r="E283" s="185"/>
      <c r="F283" s="185"/>
      <c r="G283" s="185"/>
      <c r="H283" s="186"/>
      <c r="I283" s="81">
        <f t="shared" si="1"/>
        <v>0</v>
      </c>
      <c r="J283" s="126"/>
      <c r="K283" s="125"/>
      <c r="L283" s="434"/>
      <c r="M283" s="432" t="str">
        <f>HYPERLINK("https://github.com/SaraElkadi/competitive-programming-/blob/master/UVA/11284.cpp","Sol")</f>
        <v>Sol</v>
      </c>
      <c r="N283" s="412" t="s">
        <v>1346</v>
      </c>
      <c r="O283" s="412">
        <v>13.0</v>
      </c>
      <c r="P283" s="412">
        <v>6.0</v>
      </c>
    </row>
    <row r="284">
      <c r="A284" s="107" t="s">
        <v>782</v>
      </c>
      <c r="B284" s="415" t="str">
        <f>HYPERLINK("https://uva.onlinejudge.org/index.php?option=com_onlinejudge&amp;Itemid=8&amp;page=show_problem&amp;problem=698","UVA 757")</f>
        <v>UVA 757</v>
      </c>
      <c r="C284" s="185"/>
      <c r="D284" s="185"/>
      <c r="E284" s="185"/>
      <c r="F284" s="185"/>
      <c r="G284" s="185"/>
      <c r="H284" s="186"/>
      <c r="I284" s="81">
        <f t="shared" si="1"/>
        <v>0</v>
      </c>
      <c r="J284" s="86"/>
      <c r="K284" s="80"/>
      <c r="L284" s="185"/>
      <c r="M284" s="418" t="str">
        <f>HYPERLINK("https://github.com/magdy-hasan/competitive-programming/blob/master/uva-/uva%20757%20-%20Gone%20Fishing.cpp","Sol to read")</f>
        <v>Sol to read</v>
      </c>
      <c r="N284" s="412" t="s">
        <v>1347</v>
      </c>
      <c r="O284" s="412">
        <v>15.0</v>
      </c>
      <c r="P284" s="412">
        <v>3.0</v>
      </c>
    </row>
    <row r="285">
      <c r="A285" s="107" t="s">
        <v>779</v>
      </c>
      <c r="B285" s="415" t="str">
        <f>HYPERLINK("https://uva.onlinejudge.org/index.php?option=com_onlinejudge&amp;Itemid=8&amp;page=show_problem&amp;problem=1394","UVA 10453")</f>
        <v>UVA 10453</v>
      </c>
      <c r="C285" s="185"/>
      <c r="D285" s="185"/>
      <c r="E285" s="185"/>
      <c r="F285" s="185"/>
      <c r="G285" s="185"/>
      <c r="H285" s="186"/>
      <c r="I285" s="81">
        <f t="shared" si="1"/>
        <v>0</v>
      </c>
      <c r="J285" s="86"/>
      <c r="K285" s="80"/>
      <c r="L285" s="120"/>
      <c r="M285" s="432" t="str">
        <f>HYPERLINK("https://github.com/ilyesG/Competitive-Programming/blob/master/UVA/UVA%2010453.cpp","Sol")</f>
        <v>Sol</v>
      </c>
      <c r="N285" s="412" t="s">
        <v>1348</v>
      </c>
      <c r="O285" s="412">
        <v>15.0</v>
      </c>
      <c r="P285" s="412">
        <v>3.5</v>
      </c>
      <c r="Q285" s="21" t="s">
        <v>1237</v>
      </c>
    </row>
    <row r="286">
      <c r="A286" s="107" t="s">
        <v>780</v>
      </c>
      <c r="B286" s="415" t="str">
        <f>HYPERLINK("https://uva.onlinejudge.org/index.php?option=com_onlinejudge&amp;Itemid=8&amp;page=show_problem&amp;problem=603","UVA 662")</f>
        <v>UVA 662</v>
      </c>
      <c r="C286" s="185"/>
      <c r="D286" s="185"/>
      <c r="E286" s="185"/>
      <c r="F286" s="185"/>
      <c r="G286" s="185"/>
      <c r="H286" s="186"/>
      <c r="I286" s="81">
        <f t="shared" si="1"/>
        <v>0</v>
      </c>
      <c r="J286" s="86"/>
      <c r="K286" s="80"/>
      <c r="L286" s="120"/>
      <c r="M286" s="257"/>
      <c r="N286" s="412" t="s">
        <v>1347</v>
      </c>
      <c r="O286" s="412">
        <v>15.0</v>
      </c>
      <c r="P286" s="412">
        <v>4.5</v>
      </c>
      <c r="Q286" s="21" t="s">
        <v>1235</v>
      </c>
    </row>
    <row r="287">
      <c r="A287" s="107" t="s">
        <v>781</v>
      </c>
      <c r="B287" s="415" t="str">
        <f>HYPERLINK("https://uva.onlinejudge.org/index.php?option=onlinejudge&amp;page=show_problem&amp;problem=2399","UVA 11404")</f>
        <v>UVA 11404</v>
      </c>
      <c r="C287" s="185"/>
      <c r="D287" s="185"/>
      <c r="E287" s="185"/>
      <c r="F287" s="185"/>
      <c r="G287" s="185"/>
      <c r="H287" s="186"/>
      <c r="I287" s="81">
        <f t="shared" si="1"/>
        <v>0</v>
      </c>
      <c r="J287" s="86"/>
      <c r="K287" s="80"/>
      <c r="L287" s="185"/>
      <c r="M287" s="257"/>
      <c r="N287" s="412" t="s">
        <v>1347</v>
      </c>
      <c r="O287" s="412">
        <v>15.0</v>
      </c>
      <c r="P287" s="412">
        <v>4.5</v>
      </c>
    </row>
    <row r="288">
      <c r="A288" s="107" t="s">
        <v>778</v>
      </c>
      <c r="B288" s="415" t="str">
        <f>HYPERLINK("https://uva.onlinejudge.org/index.php?option=com_onlinejudge&amp;Itemid=8&amp;page=show_problem&amp;problem=52","UVA 116")</f>
        <v>UVA 116</v>
      </c>
      <c r="C288" s="185"/>
      <c r="D288" s="185"/>
      <c r="E288" s="185"/>
      <c r="F288" s="185"/>
      <c r="G288" s="185"/>
      <c r="H288" s="186"/>
      <c r="I288" s="81">
        <f t="shared" si="1"/>
        <v>0</v>
      </c>
      <c r="J288" s="86"/>
      <c r="K288" s="80"/>
      <c r="L288" s="120"/>
      <c r="M288" s="257"/>
      <c r="N288" s="412" t="s">
        <v>1347</v>
      </c>
      <c r="O288" s="412">
        <v>15.0</v>
      </c>
      <c r="P288" s="412">
        <v>4.5</v>
      </c>
    </row>
    <row r="289">
      <c r="A289" s="107" t="s">
        <v>1349</v>
      </c>
      <c r="B289" s="415" t="str">
        <f>HYPERLINK("http://codeforces.com/contest/56/problem/D","CF56-D2-D")</f>
        <v>CF56-D2-D</v>
      </c>
      <c r="C289" s="185"/>
      <c r="D289" s="185"/>
      <c r="E289" s="185"/>
      <c r="F289" s="185"/>
      <c r="G289" s="185"/>
      <c r="H289" s="186"/>
      <c r="I289" s="81">
        <f t="shared" si="1"/>
        <v>0</v>
      </c>
      <c r="J289" s="126"/>
      <c r="K289" s="125"/>
      <c r="L289" s="185"/>
      <c r="M289" s="107"/>
      <c r="N289" s="412" t="s">
        <v>1350</v>
      </c>
      <c r="O289" s="412">
        <v>15.0</v>
      </c>
      <c r="P289" s="412">
        <v>4.5</v>
      </c>
    </row>
    <row r="290">
      <c r="A290" s="107" t="s">
        <v>786</v>
      </c>
      <c r="B290" s="415" t="str">
        <f>HYPERLINK("http://codeforces.com/contest/118/problem/D","CF118-D2-D")</f>
        <v>CF118-D2-D</v>
      </c>
      <c r="C290" s="185"/>
      <c r="D290" s="185"/>
      <c r="E290" s="185"/>
      <c r="F290" s="185"/>
      <c r="G290" s="185"/>
      <c r="H290" s="186"/>
      <c r="I290" s="81">
        <f t="shared" si="1"/>
        <v>0</v>
      </c>
      <c r="J290" s="86"/>
      <c r="K290" s="80"/>
      <c r="L290" s="185"/>
      <c r="M290" s="277"/>
      <c r="N290" s="412" t="s">
        <v>1351</v>
      </c>
      <c r="O290" s="412">
        <v>18.0</v>
      </c>
      <c r="P290" s="412">
        <v>3.0</v>
      </c>
    </row>
    <row r="291">
      <c r="A291" s="415" t="str">
        <f>HYPERLINK("https://community.topcoder.com/stat?c=problem_statement&amp;pm=4471&amp;rd=10711","UnsealTheSafe")</f>
        <v>UnsealTheSafe</v>
      </c>
      <c r="B291" s="107" t="s">
        <v>787</v>
      </c>
      <c r="C291" s="185"/>
      <c r="D291" s="185"/>
      <c r="E291" s="185"/>
      <c r="F291" s="185"/>
      <c r="G291" s="185"/>
      <c r="H291" s="186"/>
      <c r="I291" s="81">
        <f t="shared" si="1"/>
        <v>0</v>
      </c>
      <c r="J291" s="86"/>
      <c r="K291" s="80"/>
      <c r="L291" s="185"/>
      <c r="M291" s="277"/>
      <c r="N291" s="412" t="s">
        <v>1351</v>
      </c>
      <c r="O291" s="412">
        <v>18.0</v>
      </c>
      <c r="P291" s="412">
        <v>3.0</v>
      </c>
    </row>
    <row r="292">
      <c r="A292" s="107" t="s">
        <v>785</v>
      </c>
      <c r="B292" s="415" t="str">
        <f>HYPERLINK("http://codeforces.com/contest/431/problem/C","CF431-D2-C")</f>
        <v>CF431-D2-C</v>
      </c>
      <c r="C292" s="185"/>
      <c r="D292" s="185"/>
      <c r="E292" s="185"/>
      <c r="F292" s="185"/>
      <c r="G292" s="185"/>
      <c r="H292" s="186"/>
      <c r="I292" s="81">
        <f t="shared" si="1"/>
        <v>0</v>
      </c>
      <c r="J292" s="86"/>
      <c r="K292" s="80"/>
      <c r="L292" s="185"/>
      <c r="M292" s="418" t="str">
        <f>HYPERLINK("https://www.youtube.com/watch?v=M7UEOmsCxuQ","Video Solution - Solver to be (Java)")</f>
        <v>Video Solution - Solver to be (Java)</v>
      </c>
      <c r="N292" s="412" t="s">
        <v>1352</v>
      </c>
      <c r="O292" s="412">
        <v>18.0</v>
      </c>
      <c r="P292" s="412">
        <v>3.5</v>
      </c>
    </row>
    <row r="293">
      <c r="A293" s="415" t="str">
        <f>HYPERLINK("https://community.topcoder.com/stat?c=problem_statement&amp;pm=7601&amp;rd=10673","DiceGames")</f>
        <v>DiceGames</v>
      </c>
      <c r="B293" s="107" t="s">
        <v>788</v>
      </c>
      <c r="C293" s="185"/>
      <c r="D293" s="185"/>
      <c r="E293" s="185"/>
      <c r="F293" s="185"/>
      <c r="G293" s="185"/>
      <c r="H293" s="186"/>
      <c r="I293" s="81">
        <f t="shared" si="1"/>
        <v>0</v>
      </c>
      <c r="J293" s="126"/>
      <c r="K293" s="125"/>
      <c r="L293" s="185"/>
      <c r="M293" s="431"/>
      <c r="N293" s="412" t="s">
        <v>1351</v>
      </c>
      <c r="O293" s="412">
        <v>18.0</v>
      </c>
      <c r="P293" s="412">
        <v>4.0</v>
      </c>
      <c r="Q293" s="21" t="s">
        <v>1235</v>
      </c>
    </row>
    <row r="294">
      <c r="A294" s="107" t="s">
        <v>877</v>
      </c>
      <c r="B294" s="415" t="str">
        <f>HYPERLINK("http://codeforces.com/contest/474/problem/D","CF474-D2-D")</f>
        <v>CF474-D2-D</v>
      </c>
      <c r="C294" s="185"/>
      <c r="D294" s="185"/>
      <c r="E294" s="185"/>
      <c r="F294" s="185"/>
      <c r="G294" s="185"/>
      <c r="H294" s="186"/>
      <c r="I294" s="81">
        <f t="shared" si="1"/>
        <v>0</v>
      </c>
      <c r="J294" s="126"/>
      <c r="K294" s="125"/>
      <c r="L294" s="185"/>
      <c r="M294" s="424" t="str">
        <f>HYPERLINK("https://www.youtube.com/watch?v=uRCruqJOQXw","Video Solution - Solver to be (Java)")</f>
        <v>Video Solution - Solver to be (Java)</v>
      </c>
      <c r="N294" s="412" t="s">
        <v>1351</v>
      </c>
      <c r="O294" s="412">
        <v>18.0</v>
      </c>
      <c r="P294" s="412">
        <v>4.5</v>
      </c>
      <c r="Q294" s="21" t="s">
        <v>1235</v>
      </c>
    </row>
    <row r="295">
      <c r="A295" s="107"/>
      <c r="B295" s="107" t="s">
        <v>906</v>
      </c>
      <c r="C295" s="185"/>
      <c r="D295" s="185"/>
      <c r="E295" s="185"/>
      <c r="F295" s="185"/>
      <c r="G295" s="185"/>
      <c r="H295" s="186"/>
      <c r="I295" s="81">
        <f t="shared" si="1"/>
        <v>0</v>
      </c>
      <c r="J295" s="86"/>
      <c r="K295" s="80"/>
      <c r="L295" s="185"/>
      <c r="M295" s="433"/>
      <c r="N295" s="412" t="s">
        <v>1353</v>
      </c>
      <c r="O295" s="412">
        <v>18.0</v>
      </c>
      <c r="P295" s="412">
        <v>5.0</v>
      </c>
      <c r="Q295" s="21" t="s">
        <v>1235</v>
      </c>
    </row>
    <row r="296">
      <c r="A296" s="107"/>
      <c r="B296" s="107" t="s">
        <v>1212</v>
      </c>
      <c r="C296" s="185"/>
      <c r="D296" s="185"/>
      <c r="E296" s="185"/>
      <c r="F296" s="185"/>
      <c r="G296" s="185"/>
      <c r="H296" s="186"/>
      <c r="I296" s="81">
        <f t="shared" si="1"/>
        <v>0</v>
      </c>
      <c r="J296" s="126"/>
      <c r="K296" s="125"/>
      <c r="L296" s="185"/>
      <c r="M296" s="430"/>
      <c r="N296" s="412" t="s">
        <v>1354</v>
      </c>
      <c r="O296" s="412">
        <v>18.0</v>
      </c>
      <c r="P296" s="412">
        <v>5.0</v>
      </c>
    </row>
    <row r="297">
      <c r="A297" s="107"/>
      <c r="B297" s="107" t="s">
        <v>1065</v>
      </c>
      <c r="C297" s="185"/>
      <c r="D297" s="185"/>
      <c r="E297" s="185"/>
      <c r="F297" s="185"/>
      <c r="G297" s="185"/>
      <c r="H297" s="186"/>
      <c r="I297" s="81">
        <f t="shared" si="1"/>
        <v>0</v>
      </c>
      <c r="J297" s="126"/>
      <c r="K297" s="125"/>
      <c r="L297" s="185"/>
      <c r="M297" s="428"/>
      <c r="N297" s="412" t="s">
        <v>1355</v>
      </c>
      <c r="O297" s="412">
        <v>18.0</v>
      </c>
      <c r="P297" s="412">
        <v>6.25</v>
      </c>
      <c r="Q297" s="21" t="s">
        <v>1262</v>
      </c>
    </row>
    <row r="298">
      <c r="A298" s="107" t="s">
        <v>1013</v>
      </c>
      <c r="B298" s="415" t="str">
        <f>HYPERLINK("http://codeforces.com/contest/276/problem/D","CF276-D2-D")</f>
        <v>CF276-D2-D</v>
      </c>
      <c r="C298" s="185"/>
      <c r="D298" s="185"/>
      <c r="E298" s="185"/>
      <c r="F298" s="185"/>
      <c r="G298" s="185"/>
      <c r="H298" s="186"/>
      <c r="I298" s="81">
        <f t="shared" si="1"/>
        <v>0</v>
      </c>
      <c r="J298" s="120"/>
      <c r="K298" s="185"/>
      <c r="L298" s="434"/>
      <c r="M298" s="440" t="str">
        <f>HYPERLINK("http://codeforces.com/blog/entry/6779","See editorials")</f>
        <v>See editorials</v>
      </c>
      <c r="N298" s="412" t="s">
        <v>1356</v>
      </c>
      <c r="O298" s="412">
        <v>22.0</v>
      </c>
      <c r="P298" s="412">
        <v>4.5</v>
      </c>
      <c r="Q298" s="21" t="s">
        <v>1231</v>
      </c>
    </row>
    <row r="299">
      <c r="A299" s="107" t="s">
        <v>1110</v>
      </c>
      <c r="B299" s="415" t="str">
        <f>HYPERLINK("http://codeforces.com/contest/401/problem/D","CF401-D2-D")</f>
        <v>CF401-D2-D</v>
      </c>
      <c r="C299" s="185"/>
      <c r="D299" s="185"/>
      <c r="E299" s="185"/>
      <c r="F299" s="185"/>
      <c r="G299" s="185"/>
      <c r="H299" s="186"/>
      <c r="I299" s="81">
        <f t="shared" si="1"/>
        <v>0</v>
      </c>
      <c r="J299" s="86"/>
      <c r="K299" s="80"/>
      <c r="L299" s="434"/>
      <c r="M299" s="435"/>
      <c r="N299" s="412" t="s">
        <v>1357</v>
      </c>
      <c r="O299" s="412">
        <v>22.0</v>
      </c>
      <c r="P299" s="412">
        <v>5.0</v>
      </c>
      <c r="Q299" s="21" t="s">
        <v>1237</v>
      </c>
    </row>
    <row r="300">
      <c r="A300" s="107" t="s">
        <v>796</v>
      </c>
      <c r="B300" s="415" t="str">
        <f>HYPERLINK("http://codeforces.com/contest/160/problem/C","CF160-D2-C")</f>
        <v>CF160-D2-C</v>
      </c>
      <c r="C300" s="185"/>
      <c r="D300" s="185"/>
      <c r="E300" s="185"/>
      <c r="F300" s="185"/>
      <c r="G300" s="185"/>
      <c r="H300" s="186"/>
      <c r="I300" s="81">
        <f t="shared" si="1"/>
        <v>0</v>
      </c>
      <c r="J300" s="86"/>
      <c r="K300" s="80"/>
      <c r="L300" s="185"/>
      <c r="M300" s="257"/>
      <c r="N300" s="412" t="s">
        <v>1358</v>
      </c>
      <c r="O300" s="412">
        <v>22.0</v>
      </c>
      <c r="P300" s="412">
        <v>5.0</v>
      </c>
    </row>
    <row r="301">
      <c r="A301" s="415" t="str">
        <f>HYPERLINK("https://community.topcoder.com/stat?c=problem_statement&amp;pm=3491&amp;rd=6517","BagsOfGold")</f>
        <v>BagsOfGold</v>
      </c>
      <c r="B301" s="107" t="s">
        <v>1004</v>
      </c>
      <c r="C301" s="185"/>
      <c r="D301" s="185"/>
      <c r="E301" s="185"/>
      <c r="F301" s="185"/>
      <c r="G301" s="185"/>
      <c r="H301" s="186"/>
      <c r="I301" s="81">
        <f t="shared" si="1"/>
        <v>0</v>
      </c>
      <c r="J301" s="86"/>
      <c r="K301" s="80"/>
      <c r="L301" s="185"/>
      <c r="M301" s="107"/>
      <c r="N301" s="412" t="s">
        <v>1359</v>
      </c>
      <c r="O301" s="412">
        <v>23.0</v>
      </c>
      <c r="P301" s="412">
        <v>3.0</v>
      </c>
      <c r="Q301" s="21" t="s">
        <v>1237</v>
      </c>
    </row>
    <row r="302">
      <c r="A302" s="107" t="s">
        <v>1001</v>
      </c>
      <c r="B302" s="415" t="str">
        <f>HYPERLINK("https://uva.onlinejudge.org/index.php?option=com_onlinejudge&amp;Itemid=8&amp;page=show_problem&amp;problem=1345","UVA 10404")</f>
        <v>UVA 10404</v>
      </c>
      <c r="C302" s="185"/>
      <c r="D302" s="185"/>
      <c r="E302" s="185"/>
      <c r="F302" s="185"/>
      <c r="G302" s="185"/>
      <c r="H302" s="186"/>
      <c r="I302" s="81">
        <f t="shared" si="1"/>
        <v>0</v>
      </c>
      <c r="J302" s="86"/>
      <c r="K302" s="80"/>
      <c r="L302" s="185"/>
      <c r="M302" s="432" t="str">
        <f>HYPERLINK("https://github.com/VAMPIER000001/CompetitiveProgramming/blob/58946d0dcba06adfc2c5ec0b423546a6a0c6da9c/UVA/V-104/UVA%2010404.Cpp","Sol")</f>
        <v>Sol</v>
      </c>
      <c r="N302" s="412" t="s">
        <v>1360</v>
      </c>
      <c r="O302" s="412">
        <v>23.0</v>
      </c>
      <c r="P302" s="412">
        <v>3.0</v>
      </c>
    </row>
    <row r="303">
      <c r="A303" s="415" t="str">
        <f>HYPERLINK("https://community.topcoder.com/stat?c=problem_statement&amp;pm=11566&amp;rd=14547","RowAndCoins")</f>
        <v>RowAndCoins</v>
      </c>
      <c r="B303" s="107" t="s">
        <v>1003</v>
      </c>
      <c r="C303" s="185"/>
      <c r="D303" s="185"/>
      <c r="E303" s="185"/>
      <c r="F303" s="185"/>
      <c r="G303" s="185"/>
      <c r="H303" s="186"/>
      <c r="I303" s="81">
        <f t="shared" si="1"/>
        <v>0</v>
      </c>
      <c r="J303" s="86"/>
      <c r="K303" s="80"/>
      <c r="L303" s="185"/>
      <c r="M303" s="107"/>
      <c r="N303" s="412" t="s">
        <v>1361</v>
      </c>
      <c r="O303" s="412">
        <v>23.0</v>
      </c>
      <c r="P303" s="412">
        <v>3.0</v>
      </c>
    </row>
    <row r="304">
      <c r="A304" s="107"/>
      <c r="B304" s="415" t="str">
        <f>HYPERLINK("https://codeforces.com/contest/1033/problem/C","CF1033-D12-C")</f>
        <v>CF1033-D12-C</v>
      </c>
      <c r="C304" s="185"/>
      <c r="D304" s="185"/>
      <c r="E304" s="185"/>
      <c r="F304" s="185"/>
      <c r="G304" s="185"/>
      <c r="H304" s="186"/>
      <c r="I304" s="81">
        <f t="shared" si="1"/>
        <v>0</v>
      </c>
      <c r="J304" s="126"/>
      <c r="K304" s="125"/>
      <c r="L304" s="185"/>
      <c r="M304" s="107"/>
      <c r="N304" s="412" t="s">
        <v>1362</v>
      </c>
      <c r="O304" s="412">
        <v>23.0</v>
      </c>
      <c r="P304" s="412">
        <v>4.0</v>
      </c>
      <c r="Q304" s="21" t="s">
        <v>1237</v>
      </c>
    </row>
    <row r="305">
      <c r="A305" s="415" t="str">
        <f>HYPERLINK("https://community.topcoder.com/stat?c=problem_statement&amp;pm=11791&amp;rd=14727","EllysCheckers")</f>
        <v>EllysCheckers</v>
      </c>
      <c r="B305" s="107" t="s">
        <v>1002</v>
      </c>
      <c r="C305" s="185"/>
      <c r="D305" s="185"/>
      <c r="E305" s="185"/>
      <c r="F305" s="185"/>
      <c r="G305" s="185"/>
      <c r="H305" s="186"/>
      <c r="I305" s="81">
        <f t="shared" si="1"/>
        <v>0</v>
      </c>
      <c r="J305" s="86"/>
      <c r="K305" s="80"/>
      <c r="L305" s="185"/>
      <c r="M305" s="107"/>
      <c r="N305" s="412" t="s">
        <v>1363</v>
      </c>
      <c r="O305" s="412">
        <v>23.0</v>
      </c>
      <c r="P305" s="412">
        <v>4.0</v>
      </c>
    </row>
    <row r="306">
      <c r="A306" s="107" t="s">
        <v>1005</v>
      </c>
      <c r="B306" s="415" t="str">
        <f>HYPERLINK("http://codeforces.com/contest/148/problem/D","CF148-D2-D")</f>
        <v>CF148-D2-D</v>
      </c>
      <c r="C306" s="185"/>
      <c r="D306" s="185"/>
      <c r="E306" s="185"/>
      <c r="F306" s="185"/>
      <c r="G306" s="185"/>
      <c r="H306" s="186"/>
      <c r="I306" s="81">
        <f t="shared" si="1"/>
        <v>0</v>
      </c>
      <c r="J306" s="126"/>
      <c r="K306" s="125"/>
      <c r="L306" s="185"/>
      <c r="M306" s="430"/>
      <c r="N306" s="412" t="s">
        <v>1364</v>
      </c>
      <c r="O306" s="412">
        <v>23.0</v>
      </c>
      <c r="P306" s="412">
        <v>4.5</v>
      </c>
      <c r="Q306" s="21" t="s">
        <v>1235</v>
      </c>
    </row>
    <row r="307">
      <c r="A307" s="107" t="s">
        <v>1206</v>
      </c>
      <c r="B307" s="415" t="str">
        <f>HYPERLINK("https://uva.onlinejudge.org/index.php?option=com_onlinejudge&amp;Itemid=8&amp;page=show_problem&amp;problem=1519","UVA 10578")</f>
        <v>UVA 10578</v>
      </c>
      <c r="C307" s="185"/>
      <c r="D307" s="185"/>
      <c r="E307" s="185"/>
      <c r="F307" s="185"/>
      <c r="G307" s="185"/>
      <c r="H307" s="186"/>
      <c r="I307" s="81">
        <f t="shared" si="1"/>
        <v>0</v>
      </c>
      <c r="J307" s="86"/>
      <c r="K307" s="80"/>
      <c r="L307" s="434"/>
      <c r="M307" s="432" t="str">
        <f>HYPERLINK("https://github.com/abdullaAshraf/Problem-Solving/blob/master/UVA/10578.cpp","Sol")</f>
        <v>Sol</v>
      </c>
      <c r="N307" s="412" t="s">
        <v>1360</v>
      </c>
      <c r="O307" s="412">
        <v>23.0</v>
      </c>
      <c r="P307" s="412">
        <v>4.5</v>
      </c>
    </row>
    <row r="308">
      <c r="A308" s="107" t="s">
        <v>1119</v>
      </c>
      <c r="B308" s="415" t="str">
        <f>HYPERLINK("https://uva.onlinejudge.org/index.php?option=com_onlinejudge&amp;Itemid=8&amp;page=show_problem&amp;problem=1052","UVA 10111")</f>
        <v>UVA 10111</v>
      </c>
      <c r="C308" s="185"/>
      <c r="D308" s="185"/>
      <c r="E308" s="185"/>
      <c r="F308" s="185"/>
      <c r="G308" s="185"/>
      <c r="H308" s="186"/>
      <c r="I308" s="81">
        <f t="shared" si="1"/>
        <v>0</v>
      </c>
      <c r="J308" s="86"/>
      <c r="K308" s="80"/>
      <c r="L308" s="434"/>
      <c r="M308" s="321" t="str">
        <f>HYPERLINK("https://github.com/mostafa-saad/MyCompetitiveProgramming/blob/master/UVA/UVA_10111.txt","Sol")</f>
        <v>Sol</v>
      </c>
      <c r="N308" s="412" t="s">
        <v>1365</v>
      </c>
      <c r="O308" s="412">
        <v>23.0</v>
      </c>
      <c r="P308" s="412">
        <v>5.5</v>
      </c>
      <c r="Q308" s="21" t="s">
        <v>1237</v>
      </c>
    </row>
    <row r="309">
      <c r="A309" s="107" t="s">
        <v>937</v>
      </c>
      <c r="B309" s="415" t="str">
        <f>HYPERLINK("https://uva.onlinejudge.org/index.php?option=com_onlinejudge&amp;Itemid=8&amp;page=show_problem&amp;problem=3888","UVA 12457")</f>
        <v>UVA 12457</v>
      </c>
      <c r="C309" s="185"/>
      <c r="D309" s="185"/>
      <c r="E309" s="185"/>
      <c r="F309" s="185"/>
      <c r="G309" s="185"/>
      <c r="H309" s="186"/>
      <c r="I309" s="81">
        <f t="shared" si="1"/>
        <v>0</v>
      </c>
      <c r="J309" s="120"/>
      <c r="K309" s="185"/>
      <c r="L309" s="434"/>
      <c r="M309" s="321" t="str">
        <f>HYPERLINK("https://github.com/3agwa/CompetitiveProgramming/blob/master/UVA/UVA%2012457","Sol")</f>
        <v>Sol</v>
      </c>
      <c r="N309" s="412" t="s">
        <v>1366</v>
      </c>
      <c r="O309" s="412">
        <v>29.0</v>
      </c>
      <c r="P309" s="412">
        <v>3.5</v>
      </c>
    </row>
    <row r="310">
      <c r="A310" s="107" t="s">
        <v>989</v>
      </c>
      <c r="B310" s="415" t="str">
        <f>HYPERLINK("http://codeforces.com/contest/54/problem/C","CF54-D12-C")</f>
        <v>CF54-D12-C</v>
      </c>
      <c r="C310" s="185"/>
      <c r="D310" s="185"/>
      <c r="E310" s="185"/>
      <c r="F310" s="185"/>
      <c r="G310" s="185"/>
      <c r="H310" s="186"/>
      <c r="I310" s="81">
        <f t="shared" si="1"/>
        <v>0</v>
      </c>
      <c r="J310" s="126"/>
      <c r="K310" s="125"/>
      <c r="L310" s="185"/>
      <c r="M310" s="428"/>
      <c r="N310" s="412" t="s">
        <v>1367</v>
      </c>
      <c r="O310" s="412">
        <v>29.0</v>
      </c>
      <c r="P310" s="412">
        <v>4.0</v>
      </c>
      <c r="Q310" s="21" t="s">
        <v>1235</v>
      </c>
    </row>
    <row r="311">
      <c r="A311" s="107" t="s">
        <v>935</v>
      </c>
      <c r="B311" s="415" t="str">
        <f>HYPERLINK("https://uva.onlinejudge.org/index.php?option=onlinejudge&amp;page=show_problem&amp;problem=483","UVA 542")</f>
        <v>UVA 542</v>
      </c>
      <c r="C311" s="185"/>
      <c r="D311" s="185"/>
      <c r="E311" s="185"/>
      <c r="F311" s="185"/>
      <c r="G311" s="185"/>
      <c r="H311" s="186"/>
      <c r="I311" s="81">
        <f t="shared" si="1"/>
        <v>0</v>
      </c>
      <c r="J311" s="120"/>
      <c r="K311" s="185"/>
      <c r="L311" s="434"/>
      <c r="M311" s="321" t="str">
        <f>HYPERLINK("https://github.com/mostafa-saad/MyCompetitiveProgramming/blob/master/UVA/UVA_542.txt","Sol")</f>
        <v>Sol</v>
      </c>
      <c r="N311" s="412" t="s">
        <v>1368</v>
      </c>
      <c r="O311" s="412">
        <v>29.0</v>
      </c>
      <c r="P311" s="412">
        <v>4.5</v>
      </c>
      <c r="Q311" s="21" t="s">
        <v>1237</v>
      </c>
    </row>
    <row r="312">
      <c r="A312" s="107" t="s">
        <v>1046</v>
      </c>
      <c r="B312" s="415" t="str">
        <f>HYPERLINK("http://codeforces.com/contest/540/problem/D","CF540-D2-D")</f>
        <v>CF540-D2-D</v>
      </c>
      <c r="C312" s="185"/>
      <c r="D312" s="185"/>
      <c r="E312" s="185"/>
      <c r="F312" s="185"/>
      <c r="G312" s="185"/>
      <c r="H312" s="186"/>
      <c r="I312" s="81">
        <f t="shared" si="1"/>
        <v>0</v>
      </c>
      <c r="J312" s="126"/>
      <c r="K312" s="125"/>
      <c r="L312" s="185"/>
      <c r="M312" s="430"/>
      <c r="N312" s="412" t="s">
        <v>1367</v>
      </c>
      <c r="O312" s="412">
        <v>29.0</v>
      </c>
      <c r="P312" s="412">
        <v>4.5</v>
      </c>
      <c r="Q312" s="21" t="s">
        <v>1235</v>
      </c>
    </row>
    <row r="313">
      <c r="A313" s="415" t="str">
        <f>HYPERLINK("https://community.topcoder.com/stat?c=problem_statement&amp;pm=7422&amp;rd=10663","TestBettingStrategy")</f>
        <v>TestBettingStrategy</v>
      </c>
      <c r="B313" s="107" t="s">
        <v>933</v>
      </c>
      <c r="C313" s="185"/>
      <c r="D313" s="185"/>
      <c r="E313" s="185"/>
      <c r="F313" s="185"/>
      <c r="G313" s="185"/>
      <c r="H313" s="186"/>
      <c r="I313" s="81">
        <f t="shared" si="1"/>
        <v>0</v>
      </c>
      <c r="J313" s="120"/>
      <c r="K313" s="185"/>
      <c r="L313" s="185"/>
      <c r="M313" s="435"/>
      <c r="N313" s="412" t="s">
        <v>1367</v>
      </c>
      <c r="O313" s="412">
        <v>29.0</v>
      </c>
      <c r="P313" s="412">
        <v>4.5</v>
      </c>
      <c r="Q313" s="21" t="s">
        <v>1235</v>
      </c>
    </row>
    <row r="314">
      <c r="A314" s="107" t="s">
        <v>932</v>
      </c>
      <c r="B314" s="415" t="str">
        <f>HYPERLINK("https://uva.onlinejudge.org/index.php?option=com_onlinejudge&amp;Itemid=8&amp;page=show_problem&amp;problem=1700","UVA 10759")</f>
        <v>UVA 10759</v>
      </c>
      <c r="C314" s="185"/>
      <c r="D314" s="185"/>
      <c r="E314" s="185"/>
      <c r="F314" s="185"/>
      <c r="G314" s="185"/>
      <c r="H314" s="186"/>
      <c r="I314" s="81">
        <f t="shared" si="1"/>
        <v>0</v>
      </c>
      <c r="J314" s="126"/>
      <c r="K314" s="125"/>
      <c r="L314" s="185"/>
      <c r="M314" s="321" t="str">
        <f>HYPERLINK("https://github.com/VAMPIER000001/CompetitiveProgramming/blob/master/UVA/V-107/UVa%2010759.cpp","Sol")</f>
        <v>Sol</v>
      </c>
      <c r="N314" s="412" t="s">
        <v>1369</v>
      </c>
      <c r="O314" s="412">
        <v>29.0</v>
      </c>
      <c r="P314" s="412">
        <v>4.5</v>
      </c>
      <c r="Q314" s="21" t="s">
        <v>1235</v>
      </c>
    </row>
    <row r="315">
      <c r="A315" s="107" t="s">
        <v>1167</v>
      </c>
      <c r="B315" s="415" t="str">
        <f>HYPERLINK("http://codeforces.com/contest/168/problem/D","CF168-D2-D")</f>
        <v>CF168-D2-D</v>
      </c>
      <c r="C315" s="185"/>
      <c r="D315" s="185"/>
      <c r="E315" s="185"/>
      <c r="F315" s="185"/>
      <c r="G315" s="185"/>
      <c r="H315" s="186"/>
      <c r="I315" s="81">
        <f t="shared" si="1"/>
        <v>0</v>
      </c>
      <c r="J315" s="86"/>
      <c r="K315" s="80"/>
      <c r="L315" s="434"/>
      <c r="M315" s="430"/>
      <c r="N315" s="412" t="s">
        <v>1367</v>
      </c>
      <c r="O315" s="412">
        <v>29.0</v>
      </c>
      <c r="P315" s="412">
        <v>4.5</v>
      </c>
    </row>
    <row r="316">
      <c r="A316" s="107"/>
      <c r="B316" s="415" t="str">
        <f>HYPERLINK("http://codeforces.com/contest/28/problem/C","CF28-D12-C")</f>
        <v>CF28-D12-C</v>
      </c>
      <c r="C316" s="185"/>
      <c r="D316" s="185"/>
      <c r="E316" s="185"/>
      <c r="F316" s="185"/>
      <c r="G316" s="185"/>
      <c r="H316" s="186"/>
      <c r="I316" s="81">
        <f t="shared" si="1"/>
        <v>0</v>
      </c>
      <c r="J316" s="86"/>
      <c r="K316" s="80"/>
      <c r="L316" s="434"/>
      <c r="M316" s="428"/>
      <c r="N316" s="412" t="s">
        <v>1370</v>
      </c>
      <c r="O316" s="412">
        <v>29.0</v>
      </c>
      <c r="P316" s="412">
        <v>5.0</v>
      </c>
      <c r="Q316" s="21" t="s">
        <v>1237</v>
      </c>
    </row>
    <row r="317">
      <c r="A317" s="107" t="s">
        <v>1120</v>
      </c>
      <c r="B317" s="415" t="str">
        <f>HYPERLINK("http://poj.org/problem?id=2151","PKU 2151")</f>
        <v>PKU 2151</v>
      </c>
      <c r="C317" s="185"/>
      <c r="D317" s="185"/>
      <c r="E317" s="185"/>
      <c r="F317" s="185"/>
      <c r="G317" s="185"/>
      <c r="H317" s="186"/>
      <c r="I317" s="81">
        <f t="shared" si="1"/>
        <v>0</v>
      </c>
      <c r="J317" s="126"/>
      <c r="K317" s="125"/>
      <c r="L317" s="434"/>
      <c r="M317" s="321" t="str">
        <f>HYPERLINK("https://github.com/mostafa-saad/MyCompetitiveProgramming/blob/master/PKU/PKU_2151.txt","Sol")</f>
        <v>Sol</v>
      </c>
      <c r="N317" s="412" t="s">
        <v>1367</v>
      </c>
      <c r="O317" s="412">
        <v>29.0</v>
      </c>
      <c r="P317" s="412">
        <v>5.0</v>
      </c>
      <c r="Q317" s="21" t="s">
        <v>1237</v>
      </c>
    </row>
    <row r="318">
      <c r="A318" s="107"/>
      <c r="B318" s="415" t="str">
        <f>HYPERLINK("http://codeforces.com/contest/16/problem/E","CF16-D2-E")</f>
        <v>CF16-D2-E</v>
      </c>
      <c r="C318" s="185"/>
      <c r="D318" s="185"/>
      <c r="E318" s="185"/>
      <c r="F318" s="185"/>
      <c r="G318" s="185"/>
      <c r="H318" s="186"/>
      <c r="I318" s="81">
        <f t="shared" si="1"/>
        <v>0</v>
      </c>
      <c r="J318" s="126"/>
      <c r="K318" s="125"/>
      <c r="L318" s="185"/>
      <c r="M318" s="430"/>
      <c r="N318" s="412" t="s">
        <v>1371</v>
      </c>
      <c r="O318" s="412">
        <v>29.0</v>
      </c>
      <c r="P318" s="412">
        <v>5.0</v>
      </c>
      <c r="Q318" s="21" t="s">
        <v>1237</v>
      </c>
    </row>
    <row r="319">
      <c r="A319" s="107" t="s">
        <v>675</v>
      </c>
      <c r="B319" s="415" t="str">
        <f>HYPERLINK("https://uva.onlinejudge.org/index.php?option=com_onlinejudge&amp;Itemid=8&amp;page=show_problem&amp;problem=1159","UVA 10218")</f>
        <v>UVA 10218</v>
      </c>
      <c r="C319" s="185"/>
      <c r="D319" s="185"/>
      <c r="E319" s="185"/>
      <c r="F319" s="185"/>
      <c r="G319" s="185"/>
      <c r="H319" s="186"/>
      <c r="I319" s="81">
        <f t="shared" si="1"/>
        <v>0</v>
      </c>
      <c r="J319" s="86"/>
      <c r="K319" s="80"/>
      <c r="L319" s="185"/>
      <c r="M319" s="441" t="str">
        <f>HYPERLINK("https://github.com/mostafa-saad/MyCompetitiveProgramming/blob/master/UVA/UVA_10218.txt","Sol")</f>
        <v>Sol</v>
      </c>
      <c r="N319" s="412" t="s">
        <v>1372</v>
      </c>
      <c r="O319" s="412">
        <v>29.0</v>
      </c>
      <c r="P319" s="412">
        <v>5.0</v>
      </c>
      <c r="Q319" s="21" t="s">
        <v>1231</v>
      </c>
    </row>
    <row r="320">
      <c r="A320" s="107" t="s">
        <v>936</v>
      </c>
      <c r="B320" s="415" t="str">
        <f>HYPERLINK("https://uva.onlinejudge.org/index.php?option=com_onlinejudge&amp;Itemid=8&amp;page=show_problem&amp;problem=1962","UVA 11021")</f>
        <v>UVA 11021</v>
      </c>
      <c r="C320" s="185"/>
      <c r="D320" s="185"/>
      <c r="E320" s="185"/>
      <c r="F320" s="185"/>
      <c r="G320" s="185"/>
      <c r="H320" s="186"/>
      <c r="I320" s="81">
        <f t="shared" si="1"/>
        <v>0</v>
      </c>
      <c r="J320" s="120"/>
      <c r="K320" s="185"/>
      <c r="L320" s="185"/>
      <c r="M320" s="321" t="str">
        <f>HYPERLINK("https://github.com/VAMPIER000001/CompetitiveProgramming/blob/master/UVA/V-110/UVA%2011021.cpp","Sol")</f>
        <v>Sol</v>
      </c>
      <c r="N320" s="412" t="s">
        <v>1373</v>
      </c>
      <c r="O320" s="412">
        <v>29.0</v>
      </c>
      <c r="P320" s="412">
        <v>5.5</v>
      </c>
      <c r="Q320" s="21" t="s">
        <v>1237</v>
      </c>
    </row>
    <row r="321">
      <c r="A321" s="107" t="s">
        <v>934</v>
      </c>
      <c r="B321" s="415" t="str">
        <f>HYPERLINK("http://poj.org/problem?id=2096","PKU 2096")</f>
        <v>PKU 2096</v>
      </c>
      <c r="C321" s="185"/>
      <c r="D321" s="185"/>
      <c r="E321" s="185"/>
      <c r="F321" s="185"/>
      <c r="G321" s="185"/>
      <c r="H321" s="186"/>
      <c r="I321" s="81">
        <f t="shared" si="1"/>
        <v>0</v>
      </c>
      <c r="J321" s="126"/>
      <c r="K321" s="125"/>
      <c r="L321" s="434"/>
      <c r="M321" s="321" t="str">
        <f>HYPERLINK("https://github.com/MichaelMounir12/CompetitiveProgramming/blob/478ef4641bab747e4fd63fffdff7d55287242921/PKU/PKU_2096.cpp","Sol")</f>
        <v>Sol</v>
      </c>
      <c r="N321" s="412" t="s">
        <v>1374</v>
      </c>
      <c r="O321" s="412">
        <v>29.0</v>
      </c>
      <c r="P321" s="412">
        <v>5.5</v>
      </c>
      <c r="Q321" s="21" t="s">
        <v>1235</v>
      </c>
    </row>
    <row r="322">
      <c r="A322" s="107" t="s">
        <v>1125</v>
      </c>
      <c r="B322" s="415" t="str">
        <f>HYPERLINK("https://uva.onlinejudge.org/index.php?option=com_onlinejudge&amp;Itemid=8&amp;page=show_problem&amp;problem=2117","UVA 11176")</f>
        <v>UVA 11176</v>
      </c>
      <c r="C322" s="185"/>
      <c r="D322" s="185"/>
      <c r="E322" s="185"/>
      <c r="F322" s="185"/>
      <c r="G322" s="185"/>
      <c r="H322" s="186"/>
      <c r="I322" s="81">
        <f t="shared" si="1"/>
        <v>0</v>
      </c>
      <c r="J322" s="120"/>
      <c r="K322" s="185"/>
      <c r="L322" s="434"/>
      <c r="M322" s="321" t="str">
        <f>HYPERLINK("https://github.com/VAMPIER000001/CompetitiveProgramming/blob/master/UVA/V-111/UVA%2011176.cpp","Sol")</f>
        <v>Sol</v>
      </c>
      <c r="N322" s="412" t="s">
        <v>1367</v>
      </c>
      <c r="O322" s="412">
        <v>29.0</v>
      </c>
      <c r="P322" s="412">
        <v>6.0</v>
      </c>
    </row>
    <row r="323">
      <c r="A323" s="107" t="s">
        <v>634</v>
      </c>
      <c r="B323" s="415" t="str">
        <f>HYPERLINK("https://uva.onlinejudge.org/index.php?option=com_onlinejudge&amp;Itemid=8&amp;page=show_problem&amp;problem=2853","UVA 11753")</f>
        <v>UVA 11753</v>
      </c>
      <c r="C323" s="185"/>
      <c r="D323" s="185"/>
      <c r="E323" s="185"/>
      <c r="F323" s="185"/>
      <c r="G323" s="185"/>
      <c r="H323" s="186"/>
      <c r="I323" s="81">
        <f t="shared" si="1"/>
        <v>0</v>
      </c>
      <c r="J323" s="86"/>
      <c r="K323" s="80"/>
      <c r="L323" s="185"/>
      <c r="M323" s="195" t="str">
        <f>HYPERLINK("https://www.youtube.com/watch?v=1fP2Rl0-rWk","Video Solution - Eng Aya Elymany")</f>
        <v>Video Solution - Eng Aya Elymany</v>
      </c>
      <c r="N323" s="412" t="s">
        <v>1375</v>
      </c>
      <c r="O323" s="412">
        <v>32.0</v>
      </c>
      <c r="P323" s="412">
        <v>4.5</v>
      </c>
      <c r="Q323" s="21" t="s">
        <v>1237</v>
      </c>
    </row>
    <row r="324">
      <c r="A324" s="107"/>
      <c r="B324" s="415" t="str">
        <f>HYPERLINK("http://codeforces.com/gym/101294/problem/I","CF101294-GYM-I")</f>
        <v>CF101294-GYM-I</v>
      </c>
      <c r="C324" s="185"/>
      <c r="D324" s="185"/>
      <c r="E324" s="185"/>
      <c r="F324" s="185"/>
      <c r="G324" s="185"/>
      <c r="H324" s="186"/>
      <c r="I324" s="81">
        <f t="shared" si="1"/>
        <v>0</v>
      </c>
      <c r="J324" s="126"/>
      <c r="K324" s="125"/>
      <c r="L324" s="185"/>
      <c r="M324" s="321" t="str">
        <f>HYPERLINK("https://github.com/SpeedOfMagic/CompetitiveProgramming/blob/master/CodeforcesGym/CF101294-GYM-I.cpp","Sol")</f>
        <v>Sol</v>
      </c>
      <c r="N324" s="412" t="s">
        <v>1376</v>
      </c>
      <c r="O324" s="412">
        <v>32.0</v>
      </c>
      <c r="P324" s="412">
        <v>4.5</v>
      </c>
      <c r="Q324" s="21" t="s">
        <v>1231</v>
      </c>
    </row>
    <row r="325">
      <c r="A325" s="107"/>
      <c r="B325" s="107" t="s">
        <v>901</v>
      </c>
      <c r="C325" s="185"/>
      <c r="D325" s="185"/>
      <c r="E325" s="185"/>
      <c r="F325" s="185"/>
      <c r="G325" s="185"/>
      <c r="H325" s="186"/>
      <c r="I325" s="81">
        <f t="shared" si="1"/>
        <v>0</v>
      </c>
      <c r="J325" s="86"/>
      <c r="K325" s="80"/>
      <c r="L325" s="185"/>
      <c r="M325" s="107"/>
      <c r="N325" s="412" t="s">
        <v>1377</v>
      </c>
      <c r="O325" s="412">
        <v>32.0</v>
      </c>
      <c r="P325" s="412">
        <v>5.0</v>
      </c>
      <c r="Q325" s="21" t="s">
        <v>1235</v>
      </c>
    </row>
    <row r="326">
      <c r="A326" s="107"/>
      <c r="B326" s="107" t="s">
        <v>623</v>
      </c>
      <c r="C326" s="185"/>
      <c r="D326" s="185"/>
      <c r="E326" s="185"/>
      <c r="F326" s="185"/>
      <c r="G326" s="185"/>
      <c r="H326" s="186"/>
      <c r="I326" s="81">
        <f t="shared" si="1"/>
        <v>0</v>
      </c>
      <c r="J326" s="86"/>
      <c r="K326" s="80"/>
      <c r="L326" s="185"/>
      <c r="M326" s="187"/>
      <c r="N326" s="412" t="s">
        <v>1378</v>
      </c>
      <c r="O326" s="412">
        <v>32.0</v>
      </c>
      <c r="P326" s="412">
        <v>5.0</v>
      </c>
      <c r="Q326" s="21" t="s">
        <v>1231</v>
      </c>
    </row>
    <row r="327">
      <c r="A327" s="415" t="str">
        <f>HYPERLINK("https://community.topcoder.com/stat?c=problem_statement&amp;pm=1331&amp;rd=4550","MessageMess")</f>
        <v>MessageMess</v>
      </c>
      <c r="B327" s="107" t="s">
        <v>622</v>
      </c>
      <c r="C327" s="185"/>
      <c r="D327" s="185"/>
      <c r="E327" s="185"/>
      <c r="F327" s="185"/>
      <c r="G327" s="185"/>
      <c r="H327" s="186"/>
      <c r="I327" s="81">
        <f t="shared" si="1"/>
        <v>0</v>
      </c>
      <c r="J327" s="86"/>
      <c r="K327" s="80"/>
      <c r="L327" s="185"/>
      <c r="M327" s="187"/>
      <c r="N327" s="412" t="s">
        <v>1379</v>
      </c>
      <c r="O327" s="412">
        <v>32.0</v>
      </c>
      <c r="P327" s="412">
        <v>5.0</v>
      </c>
    </row>
    <row r="328">
      <c r="A328" s="107"/>
      <c r="B328" s="107" t="s">
        <v>1067</v>
      </c>
      <c r="C328" s="185"/>
      <c r="D328" s="185"/>
      <c r="E328" s="185"/>
      <c r="F328" s="185"/>
      <c r="G328" s="185"/>
      <c r="H328" s="186"/>
      <c r="I328" s="81">
        <f t="shared" si="1"/>
        <v>0</v>
      </c>
      <c r="J328" s="126"/>
      <c r="K328" s="125"/>
      <c r="L328" s="185"/>
      <c r="M328" s="428"/>
      <c r="N328" s="412" t="s">
        <v>1378</v>
      </c>
      <c r="O328" s="412">
        <v>32.0</v>
      </c>
      <c r="P328" s="412">
        <v>5.0</v>
      </c>
    </row>
    <row r="329">
      <c r="A329" s="107"/>
      <c r="B329" s="107" t="s">
        <v>1094</v>
      </c>
      <c r="C329" s="185"/>
      <c r="D329" s="185"/>
      <c r="E329" s="185"/>
      <c r="F329" s="185"/>
      <c r="G329" s="185"/>
      <c r="H329" s="186"/>
      <c r="I329" s="81">
        <f t="shared" si="1"/>
        <v>0</v>
      </c>
      <c r="J329" s="126"/>
      <c r="K329" s="125"/>
      <c r="L329" s="185"/>
      <c r="M329" s="428"/>
      <c r="N329" s="412" t="s">
        <v>1380</v>
      </c>
      <c r="O329" s="412">
        <v>32.0</v>
      </c>
      <c r="P329" s="412">
        <v>5.5</v>
      </c>
      <c r="Q329" s="21" t="s">
        <v>1235</v>
      </c>
    </row>
    <row r="330">
      <c r="A330" s="107" t="s">
        <v>636</v>
      </c>
      <c r="B330" s="415" t="str">
        <f>HYPERLINK("https://uva.onlinejudge.org/index.php?option=com_onlinejudge&amp;Itemid=8&amp;page=show_problem&amp;problem=4108","UVA 1362")</f>
        <v>UVA 1362</v>
      </c>
      <c r="C330" s="185"/>
      <c r="D330" s="185"/>
      <c r="E330" s="185"/>
      <c r="F330" s="185"/>
      <c r="G330" s="185"/>
      <c r="H330" s="186"/>
      <c r="I330" s="81">
        <f t="shared" si="1"/>
        <v>0</v>
      </c>
      <c r="J330" s="86"/>
      <c r="K330" s="80"/>
      <c r="L330" s="185"/>
      <c r="M330" s="195" t="str">
        <f>HYPERLINK("https://www.youtube.com/watch?v=NTxsccxXCW0","Video Solution - Eng Ayman Salah")</f>
        <v>Video Solution - Eng Ayman Salah</v>
      </c>
      <c r="N330" s="412" t="s">
        <v>1376</v>
      </c>
      <c r="O330" s="412">
        <v>32.0</v>
      </c>
      <c r="P330" s="412">
        <v>5.5</v>
      </c>
    </row>
    <row r="331">
      <c r="A331" s="107" t="s">
        <v>1044</v>
      </c>
      <c r="B331" s="415" t="str">
        <f>HYPERLINK("https://uva.onlinejudge.org/index.php?option=com_onlinejudge&amp;Itemid=8&amp;page=show_problem&amp;problem=4501","UVA 1626")</f>
        <v>UVA 1626</v>
      </c>
      <c r="C331" s="185"/>
      <c r="D331" s="185"/>
      <c r="E331" s="185"/>
      <c r="F331" s="185"/>
      <c r="G331" s="185"/>
      <c r="H331" s="186"/>
      <c r="I331" s="81">
        <f t="shared" si="1"/>
        <v>0</v>
      </c>
      <c r="J331" s="86"/>
      <c r="K331" s="80"/>
      <c r="L331" s="434"/>
      <c r="M331" s="432" t="str">
        <f>HYPERLINK("https://github.com/abdullaAshraf/Problem-Solving/blob/master/UVA/1626.cpp","Sol")</f>
        <v>Sol</v>
      </c>
      <c r="N331" s="412" t="s">
        <v>1376</v>
      </c>
      <c r="O331" s="412">
        <v>32.0</v>
      </c>
      <c r="P331" s="412">
        <v>5.5</v>
      </c>
    </row>
    <row r="332">
      <c r="A332" s="107"/>
      <c r="B332" s="107" t="s">
        <v>1213</v>
      </c>
      <c r="C332" s="185"/>
      <c r="D332" s="185"/>
      <c r="E332" s="185"/>
      <c r="F332" s="185"/>
      <c r="G332" s="185"/>
      <c r="H332" s="186"/>
      <c r="I332" s="81">
        <f t="shared" si="1"/>
        <v>0</v>
      </c>
      <c r="J332" s="126"/>
      <c r="K332" s="125"/>
      <c r="L332" s="185"/>
      <c r="M332" s="430"/>
      <c r="N332" s="412" t="s">
        <v>1381</v>
      </c>
      <c r="O332" s="412">
        <v>32.0</v>
      </c>
      <c r="P332" s="412">
        <v>6.0</v>
      </c>
      <c r="Q332" s="21" t="s">
        <v>1262</v>
      </c>
    </row>
    <row r="333">
      <c r="A333" s="107"/>
      <c r="B333" s="415" t="str">
        <f>HYPERLINK("https://uva.onlinejudge.org/index.php?option=onlinejudge&amp;page=show_problem&amp;problem=448","UVA 507")</f>
        <v>UVA 507</v>
      </c>
      <c r="C333" s="185"/>
      <c r="D333" s="185"/>
      <c r="E333" s="185"/>
      <c r="F333" s="185"/>
      <c r="G333" s="185"/>
      <c r="H333" s="186"/>
      <c r="I333" s="81">
        <f t="shared" si="1"/>
        <v>0</v>
      </c>
      <c r="J333" s="126"/>
      <c r="K333" s="125"/>
      <c r="L333" s="185"/>
      <c r="M333" s="430"/>
      <c r="N333" s="412" t="s">
        <v>1382</v>
      </c>
      <c r="O333" s="412">
        <v>36.0</v>
      </c>
      <c r="P333" s="412">
        <v>3.0</v>
      </c>
    </row>
    <row r="334">
      <c r="A334" s="107"/>
      <c r="B334" s="415" t="str">
        <f>HYPERLINK("https://uva.onlinejudge.org/index.php?option=com_onlinejudge&amp;Itemid=8&amp;page=show_problem&amp;problem=1608","UVA 10667")</f>
        <v>UVA 10667</v>
      </c>
      <c r="C334" s="185"/>
      <c r="D334" s="185"/>
      <c r="E334" s="185"/>
      <c r="F334" s="185"/>
      <c r="G334" s="185"/>
      <c r="H334" s="186"/>
      <c r="I334" s="81">
        <f t="shared" si="1"/>
        <v>0</v>
      </c>
      <c r="J334" s="126"/>
      <c r="K334" s="125"/>
      <c r="L334" s="185"/>
      <c r="M334" s="430"/>
      <c r="N334" s="412" t="s">
        <v>1383</v>
      </c>
      <c r="O334" s="412">
        <v>36.0</v>
      </c>
      <c r="P334" s="412">
        <v>3.0</v>
      </c>
    </row>
    <row r="335">
      <c r="A335" s="107" t="s">
        <v>1015</v>
      </c>
      <c r="B335" s="415" t="str">
        <f>HYPERLINK("http://codeforces.com/contest/75/problem/D","CF75-D2-D")</f>
        <v>CF75-D2-D</v>
      </c>
      <c r="C335" s="185"/>
      <c r="D335" s="185"/>
      <c r="E335" s="185"/>
      <c r="F335" s="185"/>
      <c r="G335" s="185"/>
      <c r="H335" s="186"/>
      <c r="I335" s="81">
        <f t="shared" si="1"/>
        <v>0</v>
      </c>
      <c r="J335" s="86"/>
      <c r="K335" s="80"/>
      <c r="L335" s="185"/>
      <c r="M335" s="435"/>
      <c r="N335" s="412" t="s">
        <v>1384</v>
      </c>
      <c r="O335" s="412">
        <v>36.0</v>
      </c>
      <c r="P335" s="412">
        <v>5.0</v>
      </c>
      <c r="Q335" s="21" t="s">
        <v>1235</v>
      </c>
    </row>
    <row r="336">
      <c r="A336" s="107"/>
      <c r="B336" s="107" t="s">
        <v>1132</v>
      </c>
      <c r="C336" s="185"/>
      <c r="D336" s="185"/>
      <c r="E336" s="185"/>
      <c r="F336" s="185"/>
      <c r="G336" s="185"/>
      <c r="H336" s="186"/>
      <c r="I336" s="81">
        <f t="shared" si="1"/>
        <v>0</v>
      </c>
      <c r="J336" s="86"/>
      <c r="K336" s="80"/>
      <c r="L336" s="434"/>
      <c r="M336" s="429" t="str">
        <f>HYPERLINK("https://github.com/mostafa-saad/MyCompetitiveProgramming/blob/master/SPOJ/SPOJ_FISHES.txt","Sol")</f>
        <v>Sol</v>
      </c>
      <c r="N336" s="412" t="s">
        <v>1385</v>
      </c>
      <c r="O336" s="412">
        <v>36.0</v>
      </c>
      <c r="P336" s="412">
        <v>5.5</v>
      </c>
      <c r="Q336" s="21" t="s">
        <v>1237</v>
      </c>
    </row>
    <row r="337">
      <c r="A337" s="107" t="s">
        <v>930</v>
      </c>
      <c r="B337" s="415" t="str">
        <f>HYPERLINK("http://codeforces.com/contest/667/problem/C","CF667-D2-C")</f>
        <v>CF667-D2-C</v>
      </c>
      <c r="C337" s="185"/>
      <c r="D337" s="185"/>
      <c r="E337" s="185"/>
      <c r="F337" s="185"/>
      <c r="G337" s="185"/>
      <c r="H337" s="186"/>
      <c r="I337" s="81">
        <f t="shared" si="1"/>
        <v>0</v>
      </c>
      <c r="J337" s="126"/>
      <c r="K337" s="125"/>
      <c r="L337" s="185"/>
      <c r="M337" s="430"/>
      <c r="N337" s="412" t="s">
        <v>1386</v>
      </c>
      <c r="O337" s="412">
        <v>37.0</v>
      </c>
      <c r="P337" s="412">
        <v>4.5</v>
      </c>
      <c r="Q337" s="21" t="s">
        <v>1237</v>
      </c>
    </row>
    <row r="338">
      <c r="A338" s="107" t="s">
        <v>1134</v>
      </c>
      <c r="B338" s="415" t="str">
        <f>HYPERLINK("http://codeforces.com/contest/478/problem/D","CF478-D2-D")</f>
        <v>CF478-D2-D</v>
      </c>
      <c r="C338" s="185"/>
      <c r="D338" s="185"/>
      <c r="E338" s="185"/>
      <c r="F338" s="185"/>
      <c r="G338" s="185"/>
      <c r="H338" s="186"/>
      <c r="I338" s="81">
        <f t="shared" si="1"/>
        <v>0</v>
      </c>
      <c r="J338" s="86"/>
      <c r="K338" s="80"/>
      <c r="L338" s="434"/>
      <c r="M338" s="430"/>
      <c r="N338" s="412" t="s">
        <v>1387</v>
      </c>
      <c r="O338" s="412">
        <v>37.0</v>
      </c>
      <c r="P338" s="412">
        <v>5.0</v>
      </c>
      <c r="Q338" s="21" t="s">
        <v>1237</v>
      </c>
    </row>
    <row r="339">
      <c r="A339" s="107" t="s">
        <v>1101</v>
      </c>
      <c r="B339" s="415" t="str">
        <f>HYPERLINK("http://codeforces.com/contest/418/problem/B","CF418-D1-B")</f>
        <v>CF418-D1-B</v>
      </c>
      <c r="C339" s="185"/>
      <c r="D339" s="185"/>
      <c r="E339" s="185"/>
      <c r="F339" s="185"/>
      <c r="G339" s="185"/>
      <c r="H339" s="186"/>
      <c r="I339" s="81">
        <f t="shared" si="1"/>
        <v>0</v>
      </c>
      <c r="J339" s="86"/>
      <c r="K339" s="80"/>
      <c r="L339" s="185"/>
      <c r="M339" s="435"/>
      <c r="N339" s="412" t="s">
        <v>1388</v>
      </c>
      <c r="O339" s="412">
        <v>37.0</v>
      </c>
      <c r="P339" s="412">
        <v>5.5</v>
      </c>
      <c r="Q339" s="21" t="s">
        <v>1262</v>
      </c>
    </row>
    <row r="340">
      <c r="A340" s="107"/>
      <c r="B340" s="107" t="s">
        <v>1140</v>
      </c>
      <c r="C340" s="185"/>
      <c r="D340" s="185"/>
      <c r="E340" s="185"/>
      <c r="F340" s="185"/>
      <c r="G340" s="185"/>
      <c r="H340" s="186"/>
      <c r="I340" s="81">
        <f t="shared" si="1"/>
        <v>0</v>
      </c>
      <c r="J340" s="86"/>
      <c r="K340" s="80"/>
      <c r="L340" s="434"/>
      <c r="M340" s="429" t="str">
        <f>HYPERLINK("https://github.com/magdy-hasan/competitive-programming/blob/master/Other/ZOJ%20Get%20Sauce.cpp","Sol")</f>
        <v>Sol</v>
      </c>
      <c r="N340" s="412" t="s">
        <v>1389</v>
      </c>
      <c r="O340" s="412">
        <v>37.0</v>
      </c>
      <c r="P340" s="412">
        <v>5.5</v>
      </c>
      <c r="Q340" s="21" t="s">
        <v>1262</v>
      </c>
    </row>
    <row r="341">
      <c r="A341" s="107" t="s">
        <v>926</v>
      </c>
      <c r="B341" s="415" t="str">
        <f>HYPERLINK("http://codeforces.com/contest/814/problem/D","CF814-D2-D")</f>
        <v>CF814-D2-D</v>
      </c>
      <c r="C341" s="185"/>
      <c r="D341" s="185"/>
      <c r="E341" s="185"/>
      <c r="F341" s="185"/>
      <c r="G341" s="185"/>
      <c r="H341" s="186"/>
      <c r="I341" s="81">
        <f t="shared" si="1"/>
        <v>0</v>
      </c>
      <c r="J341" s="86"/>
      <c r="K341" s="80"/>
      <c r="L341" s="185"/>
      <c r="M341" s="418" t="str">
        <f>HYPERLINK("https://www.youtube.com/watch?v=UWtHck3a4SA","Video Solution - Solver to be (Java)")</f>
        <v>Video Solution - Solver to be (Java)</v>
      </c>
      <c r="N341" s="412" t="s">
        <v>1390</v>
      </c>
      <c r="O341" s="412">
        <v>38.0</v>
      </c>
      <c r="P341" s="412">
        <v>5.0</v>
      </c>
      <c r="Q341" s="21" t="s">
        <v>1237</v>
      </c>
    </row>
    <row r="342">
      <c r="A342" s="107"/>
      <c r="B342" s="415" t="str">
        <f>HYPERLINK("http://codeforces.com/contest/161/problem/D","CF161-D12-D")</f>
        <v>CF161-D12-D</v>
      </c>
      <c r="C342" s="185"/>
      <c r="D342" s="185"/>
      <c r="E342" s="185"/>
      <c r="F342" s="185"/>
      <c r="G342" s="185"/>
      <c r="H342" s="186"/>
      <c r="I342" s="81">
        <f t="shared" si="1"/>
        <v>0</v>
      </c>
      <c r="J342" s="86"/>
      <c r="K342" s="80"/>
      <c r="L342" s="185"/>
      <c r="M342" s="442" t="str">
        <f>HYPERLINK("https://codeforces.com/blog/entry/20935","Reading: DP on Trees")</f>
        <v>Reading: DP on Trees</v>
      </c>
      <c r="N342" s="412" t="s">
        <v>1391</v>
      </c>
      <c r="O342" s="412">
        <v>38.0</v>
      </c>
      <c r="P342" s="412">
        <v>5.0</v>
      </c>
      <c r="Q342" s="21" t="s">
        <v>1235</v>
      </c>
    </row>
    <row r="343">
      <c r="A343" s="107" t="s">
        <v>988</v>
      </c>
      <c r="B343" s="415" t="str">
        <f>HYPERLINK("http://www.spoj.com/problems/PT07X/","SPOJ PT07X")</f>
        <v>SPOJ PT07X</v>
      </c>
      <c r="C343" s="185"/>
      <c r="D343" s="185"/>
      <c r="E343" s="185"/>
      <c r="F343" s="185"/>
      <c r="G343" s="185"/>
      <c r="H343" s="186"/>
      <c r="I343" s="81">
        <f t="shared" si="1"/>
        <v>0</v>
      </c>
      <c r="J343" s="86"/>
      <c r="K343" s="80"/>
      <c r="L343" s="185"/>
      <c r="M343" s="432" t="str">
        <f>HYPERLINK("https://github.com/abdullaAshraf/Problem-Solving/blob/master/SPOJ/PT07X.cpp","Sol")</f>
        <v>Sol</v>
      </c>
      <c r="N343" s="412" t="s">
        <v>1392</v>
      </c>
      <c r="O343" s="412">
        <v>38.0</v>
      </c>
      <c r="P343" s="412">
        <v>5.0</v>
      </c>
    </row>
    <row r="344">
      <c r="A344" s="107"/>
      <c r="B344" s="415" t="str">
        <f>HYPERLINK("http://codeforces.com/contest/337/problem/D","CF337-D2-D")</f>
        <v>CF337-D2-D</v>
      </c>
      <c r="C344" s="185"/>
      <c r="D344" s="185"/>
      <c r="E344" s="185"/>
      <c r="F344" s="185"/>
      <c r="G344" s="185"/>
      <c r="H344" s="186"/>
      <c r="I344" s="81">
        <f t="shared" si="1"/>
        <v>0</v>
      </c>
      <c r="J344" s="126"/>
      <c r="K344" s="125"/>
      <c r="L344" s="434"/>
      <c r="M344" s="432" t="str">
        <f>HYPERLINK("http://codeforces.com/contest/337/submission/38413425","Sol")</f>
        <v>Sol</v>
      </c>
      <c r="N344" s="412" t="s">
        <v>1393</v>
      </c>
      <c r="O344" s="412">
        <v>38.0</v>
      </c>
      <c r="P344" s="412">
        <v>5.5</v>
      </c>
      <c r="Q344" s="21" t="s">
        <v>1262</v>
      </c>
    </row>
    <row r="345">
      <c r="A345" s="107" t="s">
        <v>962</v>
      </c>
      <c r="B345" s="415" t="str">
        <f>HYPERLINK("http://codeforces.com/contest/743/problem/D","CF743-D2-D")</f>
        <v>CF743-D2-D</v>
      </c>
      <c r="C345" s="185"/>
      <c r="D345" s="185"/>
      <c r="E345" s="185"/>
      <c r="F345" s="185"/>
      <c r="G345" s="185"/>
      <c r="H345" s="186"/>
      <c r="I345" s="81">
        <f t="shared" si="1"/>
        <v>0</v>
      </c>
      <c r="J345" s="126"/>
      <c r="K345" s="125"/>
      <c r="L345" s="185"/>
      <c r="M345" s="430"/>
      <c r="N345" s="412" t="s">
        <v>1392</v>
      </c>
      <c r="O345" s="412">
        <v>38.0</v>
      </c>
      <c r="P345" s="412">
        <v>5.5</v>
      </c>
      <c r="Q345" s="21" t="s">
        <v>1235</v>
      </c>
    </row>
    <row r="346">
      <c r="A346" s="107"/>
      <c r="B346" s="107" t="s">
        <v>1158</v>
      </c>
      <c r="C346" s="185"/>
      <c r="D346" s="185"/>
      <c r="E346" s="185"/>
      <c r="F346" s="185"/>
      <c r="G346" s="185"/>
      <c r="H346" s="186"/>
      <c r="I346" s="81">
        <f t="shared" si="1"/>
        <v>0</v>
      </c>
      <c r="J346" s="86"/>
      <c r="K346" s="80"/>
      <c r="L346" s="434"/>
      <c r="M346" s="321" t="str">
        <f>HYPERLINK("https://github.com/MeGaCrazy/CompetitiveProgramming/blob/2a3c686ba85081a14c9df160224fc1659f7f93ab/Timus/TIMUS_1362.cpp","Sol")</f>
        <v>Sol</v>
      </c>
      <c r="N346" s="412" t="s">
        <v>1394</v>
      </c>
      <c r="O346" s="412">
        <v>38.0</v>
      </c>
      <c r="P346" s="412">
        <v>5.5</v>
      </c>
      <c r="Q346" s="21" t="s">
        <v>1235</v>
      </c>
    </row>
    <row r="347">
      <c r="A347" s="107"/>
      <c r="B347" s="107" t="s">
        <v>1188</v>
      </c>
      <c r="C347" s="185"/>
      <c r="D347" s="185"/>
      <c r="E347" s="185"/>
      <c r="F347" s="185"/>
      <c r="G347" s="185"/>
      <c r="H347" s="186"/>
      <c r="I347" s="81">
        <f t="shared" si="1"/>
        <v>0</v>
      </c>
      <c r="J347" s="120"/>
      <c r="K347" s="185"/>
      <c r="L347" s="185"/>
      <c r="M347" s="321" t="str">
        <f>HYPERLINK("https://github.com/mostafa-saad/MyCompetitiveProgramming/blob/master/UVA/UVA_1218.txt","Sol")</f>
        <v>Sol</v>
      </c>
      <c r="N347" s="412" t="s">
        <v>1395</v>
      </c>
      <c r="O347" s="412">
        <v>38.0</v>
      </c>
      <c r="P347" s="412">
        <v>5.75</v>
      </c>
      <c r="Q347" s="21" t="s">
        <v>1235</v>
      </c>
    </row>
    <row r="348">
      <c r="A348" s="107" t="s">
        <v>632</v>
      </c>
      <c r="B348" s="415" t="str">
        <f>HYPERLINK("http://codeforces.com/contest/257/problem/B","CF257-D2-B")</f>
        <v>CF257-D2-B</v>
      </c>
      <c r="C348" s="185"/>
      <c r="D348" s="185"/>
      <c r="E348" s="185"/>
      <c r="F348" s="185"/>
      <c r="G348" s="185"/>
      <c r="H348" s="186"/>
      <c r="I348" s="81">
        <f t="shared" si="1"/>
        <v>0</v>
      </c>
      <c r="J348" s="86"/>
      <c r="K348" s="80"/>
      <c r="L348" s="185"/>
      <c r="M348" s="431"/>
      <c r="N348" s="412" t="s">
        <v>1396</v>
      </c>
      <c r="O348" s="412">
        <v>41.0</v>
      </c>
      <c r="P348" s="287">
        <v>2.5</v>
      </c>
    </row>
    <row r="349">
      <c r="A349" s="107" t="s">
        <v>731</v>
      </c>
      <c r="B349" s="415" t="str">
        <f>HYPERLINK("https://uva.onlinejudge.org/index.php?option=onlinejudge&amp;page=show_problem&amp;problem=1309","UVA 10368")</f>
        <v>UVA 10368</v>
      </c>
      <c r="C349" s="185"/>
      <c r="D349" s="185"/>
      <c r="E349" s="185"/>
      <c r="F349" s="185"/>
      <c r="G349" s="185"/>
      <c r="H349" s="186"/>
      <c r="I349" s="81">
        <f t="shared" si="1"/>
        <v>0</v>
      </c>
      <c r="J349" s="86"/>
      <c r="K349" s="80"/>
      <c r="L349" s="185"/>
      <c r="M349" s="195" t="str">
        <f>HYPERLINK("https://www.youtube.com/watch?v=86oGEiHeDO0","Video Solution - Eng Moaz Rashad")</f>
        <v>Video Solution - Eng Moaz Rashad</v>
      </c>
      <c r="N349" s="412" t="s">
        <v>1397</v>
      </c>
      <c r="O349" s="412">
        <v>41.0</v>
      </c>
      <c r="P349" s="412">
        <v>3.5</v>
      </c>
      <c r="Q349" s="21" t="s">
        <v>1235</v>
      </c>
    </row>
    <row r="350">
      <c r="A350" s="107"/>
      <c r="B350" s="167" t="str">
        <f>HYPERLINK("https://codeforces.com/contest/1220/problem/C","CF1220-D12-C")</f>
        <v>CF1220-D12-C</v>
      </c>
      <c r="C350" s="185"/>
      <c r="D350" s="185"/>
      <c r="E350" s="185"/>
      <c r="F350" s="185"/>
      <c r="G350" s="185"/>
      <c r="H350" s="186"/>
      <c r="I350" s="81">
        <f t="shared" si="1"/>
        <v>0</v>
      </c>
      <c r="J350" s="86"/>
      <c r="K350" s="80"/>
      <c r="L350" s="185"/>
      <c r="M350" s="436"/>
      <c r="N350" s="412" t="s">
        <v>1398</v>
      </c>
      <c r="O350" s="412">
        <v>41.0</v>
      </c>
      <c r="P350" s="412">
        <v>3.5</v>
      </c>
      <c r="Q350" s="21" t="s">
        <v>1235</v>
      </c>
    </row>
    <row r="351">
      <c r="A351" s="107" t="s">
        <v>742</v>
      </c>
      <c r="B351" s="415" t="str">
        <f>HYPERLINK("http://codeforces.com/contest/347/problem/C","CF347-D2-C")</f>
        <v>CF347-D2-C</v>
      </c>
      <c r="C351" s="185"/>
      <c r="D351" s="185"/>
      <c r="E351" s="185"/>
      <c r="F351" s="185"/>
      <c r="G351" s="185"/>
      <c r="H351" s="186"/>
      <c r="I351" s="81">
        <f t="shared" si="1"/>
        <v>0</v>
      </c>
      <c r="J351" s="86"/>
      <c r="K351" s="80"/>
      <c r="L351" s="185"/>
      <c r="M351" s="219" t="str">
        <f>HYPERLINK("https://www.youtube.com/watch?v=CfBk2dwfLaE","Video Solution - Eng Mohamed Nasser")</f>
        <v>Video Solution - Eng Mohamed Nasser</v>
      </c>
      <c r="N351" s="412" t="s">
        <v>1399</v>
      </c>
      <c r="O351" s="412">
        <v>41.0</v>
      </c>
      <c r="P351" s="412">
        <v>4.0</v>
      </c>
      <c r="Q351" s="21" t="s">
        <v>1231</v>
      </c>
    </row>
    <row r="352">
      <c r="A352" s="107" t="s">
        <v>730</v>
      </c>
      <c r="B352" s="415" t="str">
        <f>HYPERLINK("http://codeforces.com/contest/151/problem/C","CF151-D2-C")</f>
        <v>CF151-D2-C</v>
      </c>
      <c r="C352" s="185"/>
      <c r="D352" s="185"/>
      <c r="E352" s="185"/>
      <c r="F352" s="185"/>
      <c r="G352" s="185"/>
      <c r="H352" s="186"/>
      <c r="I352" s="81">
        <f t="shared" si="1"/>
        <v>0</v>
      </c>
      <c r="J352" s="86"/>
      <c r="K352" s="80"/>
      <c r="L352" s="185"/>
      <c r="M352" s="418" t="str">
        <f>HYPERLINK("https://www.youtube.com/watch?v=SY88_vndOgI","Video Solution - Dr Mostafa Saad")</f>
        <v>Video Solution - Dr Mostafa Saad</v>
      </c>
      <c r="N352" s="412" t="s">
        <v>1400</v>
      </c>
      <c r="O352" s="412">
        <v>41.0</v>
      </c>
      <c r="P352" s="412">
        <v>4.0</v>
      </c>
      <c r="Q352" s="21" t="s">
        <v>1231</v>
      </c>
    </row>
    <row r="353">
      <c r="A353" s="107" t="s">
        <v>441</v>
      </c>
      <c r="B353" s="415" t="str">
        <f>HYPERLINK("https://uva.onlinejudge.org/index.php?option=onlinejudge&amp;page=show_problem&amp;problem=1806","UVA 10865")</f>
        <v>UVA 10865</v>
      </c>
      <c r="C353" s="185"/>
      <c r="D353" s="185"/>
      <c r="E353" s="185"/>
      <c r="F353" s="185"/>
      <c r="G353" s="185"/>
      <c r="H353" s="186"/>
      <c r="I353" s="81">
        <f t="shared" si="1"/>
        <v>0</v>
      </c>
      <c r="J353" s="86"/>
      <c r="K353" s="80"/>
      <c r="L353" s="185"/>
      <c r="M353" s="219" t="str">
        <f>HYPERLINK("https://www.youtube.com/watch?v=VZ7kCc80C6o&amp;feature=youtu.be","Video Solution - Eng Magdy Hasan")</f>
        <v>Video Solution - Eng Magdy Hasan</v>
      </c>
      <c r="N353" s="412" t="s">
        <v>1401</v>
      </c>
      <c r="O353" s="412">
        <v>45.0</v>
      </c>
      <c r="P353" s="412">
        <v>2.0</v>
      </c>
      <c r="Q353" s="21" t="s">
        <v>1231</v>
      </c>
    </row>
    <row r="354">
      <c r="A354" s="107"/>
      <c r="B354" s="107" t="s">
        <v>767</v>
      </c>
      <c r="C354" s="185"/>
      <c r="D354" s="185"/>
      <c r="E354" s="185"/>
      <c r="F354" s="185"/>
      <c r="G354" s="185"/>
      <c r="H354" s="186"/>
      <c r="I354" s="81">
        <f t="shared" si="1"/>
        <v>0</v>
      </c>
      <c r="J354" s="86"/>
      <c r="K354" s="80"/>
      <c r="L354" s="120"/>
      <c r="M354" s="433"/>
      <c r="N354" s="412" t="s">
        <v>1402</v>
      </c>
      <c r="O354" s="412">
        <v>45.0</v>
      </c>
      <c r="P354" s="412">
        <v>3.0</v>
      </c>
      <c r="Q354" s="21" t="s">
        <v>1231</v>
      </c>
    </row>
    <row r="355">
      <c r="A355" s="107" t="s">
        <v>247</v>
      </c>
      <c r="B355" s="415" t="str">
        <f>HYPERLINK("https://uva.onlinejudge.org/index.php?option=onlinejudge&amp;page=show_problem&amp;problem=417","UVA 476")</f>
        <v>UVA 476</v>
      </c>
      <c r="C355" s="185"/>
      <c r="D355" s="185"/>
      <c r="E355" s="185"/>
      <c r="F355" s="185"/>
      <c r="G355" s="185"/>
      <c r="H355" s="186"/>
      <c r="I355" s="81">
        <f t="shared" si="1"/>
        <v>0</v>
      </c>
      <c r="J355" s="160"/>
      <c r="K355" s="80"/>
      <c r="L355" s="160"/>
      <c r="M355" s="443"/>
      <c r="N355" s="412" t="s">
        <v>1401</v>
      </c>
      <c r="O355" s="412">
        <v>45.0</v>
      </c>
      <c r="P355" s="412">
        <v>3.0</v>
      </c>
    </row>
    <row r="356">
      <c r="A356" s="107" t="s">
        <v>811</v>
      </c>
      <c r="B356" s="415" t="str">
        <f>HYPERLINK("http://codeforces.com/contest/617/problem/C","CF617-D2-C")</f>
        <v>CF617-D2-C</v>
      </c>
      <c r="C356" s="185"/>
      <c r="D356" s="185"/>
      <c r="E356" s="185"/>
      <c r="F356" s="185"/>
      <c r="G356" s="185"/>
      <c r="H356" s="186"/>
      <c r="I356" s="81">
        <f t="shared" si="1"/>
        <v>0</v>
      </c>
      <c r="J356" s="86"/>
      <c r="K356" s="80"/>
      <c r="L356" s="185"/>
      <c r="M356" s="257"/>
      <c r="N356" s="412" t="s">
        <v>1403</v>
      </c>
      <c r="O356" s="412">
        <v>45.0</v>
      </c>
      <c r="P356" s="412">
        <v>3.0</v>
      </c>
    </row>
    <row r="357">
      <c r="A357" s="107" t="s">
        <v>250</v>
      </c>
      <c r="B357" s="415" t="str">
        <f>HYPERLINK("http://codeforces.com/contest/667/problem/A","CF667-D2-A")</f>
        <v>CF667-D2-A</v>
      </c>
      <c r="C357" s="185"/>
      <c r="D357" s="185"/>
      <c r="E357" s="185"/>
      <c r="F357" s="185"/>
      <c r="G357" s="185"/>
      <c r="H357" s="186"/>
      <c r="I357" s="81">
        <f t="shared" si="1"/>
        <v>0</v>
      </c>
      <c r="J357" s="120"/>
      <c r="K357" s="80"/>
      <c r="L357" s="120"/>
      <c r="M357" s="431"/>
      <c r="N357" s="412" t="s">
        <v>1404</v>
      </c>
      <c r="O357" s="412">
        <v>45.0</v>
      </c>
      <c r="P357" s="412">
        <v>3.0</v>
      </c>
    </row>
    <row r="358">
      <c r="A358" s="107" t="s">
        <v>251</v>
      </c>
      <c r="B358" s="415" t="str">
        <f>HYPERLINK("https://uva.onlinejudge.org/index.php?option=onlinejudge&amp;page=show_problem&amp;problem=1183","UVA 10242")</f>
        <v>UVA 10242</v>
      </c>
      <c r="C358" s="185"/>
      <c r="D358" s="185"/>
      <c r="E358" s="185"/>
      <c r="F358" s="185"/>
      <c r="G358" s="185"/>
      <c r="H358" s="186"/>
      <c r="I358" s="81">
        <f t="shared" si="1"/>
        <v>0</v>
      </c>
      <c r="J358" s="160"/>
      <c r="K358" s="80"/>
      <c r="L358" s="160"/>
      <c r="M358" s="421" t="str">
        <f>HYPERLINK("https://www.youtube.com/watch?v=QkYkuhUHMQA&amp;feature=youtu.be","Video Solution - Eng Magdy Hasan")</f>
        <v>Video Solution - Eng Magdy Hasan</v>
      </c>
      <c r="N358" s="412" t="s">
        <v>1405</v>
      </c>
      <c r="O358" s="412">
        <v>45.0</v>
      </c>
      <c r="P358" s="412">
        <v>3.0</v>
      </c>
    </row>
    <row r="359">
      <c r="A359" s="107" t="s">
        <v>821</v>
      </c>
      <c r="B359" s="415" t="str">
        <f>HYPERLINK("http://codeforces.com/contest/474/problem/C","CF474-D2-C")</f>
        <v>CF474-D2-C</v>
      </c>
      <c r="C359" s="185"/>
      <c r="D359" s="185"/>
      <c r="E359" s="185"/>
      <c r="F359" s="185"/>
      <c r="G359" s="185"/>
      <c r="H359" s="186"/>
      <c r="I359" s="81">
        <f t="shared" si="1"/>
        <v>0</v>
      </c>
      <c r="J359" s="86"/>
      <c r="K359" s="80"/>
      <c r="L359" s="185"/>
      <c r="M359" s="418" t="str">
        <f>HYPERLINK("https://www.youtube.com/watch?v=TpRObCQT9Lw","Video Solution - Dr Mostafa Saad")</f>
        <v>Video Solution - Dr Mostafa Saad</v>
      </c>
      <c r="N359" s="412" t="s">
        <v>1406</v>
      </c>
      <c r="O359" s="412">
        <v>45.0</v>
      </c>
      <c r="P359" s="412">
        <v>3.5</v>
      </c>
      <c r="Q359" s="21" t="s">
        <v>1235</v>
      </c>
    </row>
    <row r="360">
      <c r="A360" s="107" t="s">
        <v>248</v>
      </c>
      <c r="B360" s="415" t="str">
        <f>HYPERLINK("https://uva.onlinejudge.org/index.php?option=onlinejudge&amp;page=show_problem&amp;problem=401","UVA 460")</f>
        <v>UVA 460</v>
      </c>
      <c r="C360" s="185"/>
      <c r="D360" s="185"/>
      <c r="E360" s="185"/>
      <c r="F360" s="185"/>
      <c r="G360" s="185"/>
      <c r="H360" s="186"/>
      <c r="I360" s="81">
        <f t="shared" si="1"/>
        <v>0</v>
      </c>
      <c r="J360" s="160"/>
      <c r="K360" s="80"/>
      <c r="L360" s="160"/>
      <c r="M360" s="421" t="str">
        <f>HYPERLINK("https://www.youtube.com/watch?v=NOZxcOu25Iw","Video Solution - Eng Muntaser Abukadeja")</f>
        <v>Video Solution - Eng Muntaser Abukadeja</v>
      </c>
      <c r="N360" s="412" t="s">
        <v>1401</v>
      </c>
      <c r="O360" s="412">
        <v>45.0</v>
      </c>
      <c r="P360" s="412">
        <v>3.5</v>
      </c>
    </row>
    <row r="361">
      <c r="A361" s="107" t="s">
        <v>1070</v>
      </c>
      <c r="B361" s="415" t="str">
        <f>HYPERLINK("https://www.hackerrank.com/challenges/xrange-and-pizza","HACKR xrange-and-pizza")</f>
        <v>HACKR xrange-and-pizza</v>
      </c>
      <c r="C361" s="185"/>
      <c r="D361" s="185"/>
      <c r="E361" s="185"/>
      <c r="F361" s="185"/>
      <c r="G361" s="185"/>
      <c r="H361" s="186"/>
      <c r="I361" s="81">
        <f t="shared" si="1"/>
        <v>0</v>
      </c>
      <c r="J361" s="86"/>
      <c r="K361" s="80"/>
      <c r="L361" s="434"/>
      <c r="M361" s="432" t="str">
        <f>HYPERLINK("https://github.com/AbdelrahmanRamadan/competitive-programming/blob/master/HackerRank/xrange-and-pizza.cpp","Sol")</f>
        <v>Sol</v>
      </c>
      <c r="N361" s="412" t="s">
        <v>1407</v>
      </c>
      <c r="O361" s="412">
        <v>45.0</v>
      </c>
      <c r="P361" s="412">
        <v>4.0</v>
      </c>
      <c r="Q361" s="21" t="s">
        <v>1235</v>
      </c>
    </row>
    <row r="362">
      <c r="A362" s="107"/>
      <c r="B362" s="415" t="str">
        <f>HYPERLINK("https://www.hackerrank.com/challenges/a-circle-and-a-square","HACKR a-circle-and-a-square")</f>
        <v>HACKR a-circle-and-a-square</v>
      </c>
      <c r="C362" s="185"/>
      <c r="D362" s="185"/>
      <c r="E362" s="185"/>
      <c r="F362" s="185"/>
      <c r="G362" s="185"/>
      <c r="H362" s="186"/>
      <c r="I362" s="81">
        <f t="shared" si="1"/>
        <v>0</v>
      </c>
      <c r="J362" s="86"/>
      <c r="K362" s="80"/>
      <c r="L362" s="185"/>
      <c r="M362" s="266"/>
      <c r="N362" s="412" t="s">
        <v>1408</v>
      </c>
      <c r="O362" s="412">
        <v>45.0</v>
      </c>
      <c r="P362" s="412">
        <v>4.0</v>
      </c>
      <c r="Q362" s="21" t="s">
        <v>1235</v>
      </c>
    </row>
    <row r="363">
      <c r="A363" s="107"/>
      <c r="B363" s="107" t="s">
        <v>790</v>
      </c>
      <c r="C363" s="185"/>
      <c r="D363" s="185"/>
      <c r="E363" s="185"/>
      <c r="F363" s="185"/>
      <c r="G363" s="185"/>
      <c r="H363" s="186"/>
      <c r="I363" s="81">
        <f t="shared" si="1"/>
        <v>0</v>
      </c>
      <c r="J363" s="86"/>
      <c r="K363" s="80"/>
      <c r="L363" s="185"/>
      <c r="M363" s="432" t="str">
        <f>HYPERLINK("https://github.com/mostafa-saad/MyCompetitiveProgramming/blob/master/SPOJ/SPOJ_FACENEMY.txt","Sol")</f>
        <v>Sol</v>
      </c>
      <c r="N363" s="412" t="s">
        <v>1409</v>
      </c>
      <c r="O363" s="412">
        <v>45.0</v>
      </c>
      <c r="P363" s="412">
        <v>4.0</v>
      </c>
      <c r="Q363" s="21" t="s">
        <v>1231</v>
      </c>
    </row>
    <row r="364">
      <c r="A364" s="107" t="s">
        <v>629</v>
      </c>
      <c r="B364" s="415" t="str">
        <f>HYPERLINK("http://codeforces.com/contest/275/problem/C","CF275-D2-C")</f>
        <v>CF275-D2-C</v>
      </c>
      <c r="C364" s="185"/>
      <c r="D364" s="185"/>
      <c r="E364" s="185"/>
      <c r="F364" s="185"/>
      <c r="G364" s="185"/>
      <c r="H364" s="186"/>
      <c r="I364" s="81">
        <f t="shared" si="1"/>
        <v>0</v>
      </c>
      <c r="J364" s="86"/>
      <c r="K364" s="80"/>
      <c r="L364" s="185"/>
      <c r="M364" s="257"/>
      <c r="N364" s="412" t="s">
        <v>1401</v>
      </c>
      <c r="O364" s="412">
        <v>45.0</v>
      </c>
      <c r="P364" s="412">
        <v>4.0</v>
      </c>
    </row>
    <row r="365">
      <c r="A365" s="107" t="s">
        <v>613</v>
      </c>
      <c r="B365" s="415" t="str">
        <f>HYPERLINK("http://codeforces.com/contest/560/problem/C","CF560-D2-C")</f>
        <v>CF560-D2-C</v>
      </c>
      <c r="C365" s="185"/>
      <c r="D365" s="185"/>
      <c r="E365" s="185"/>
      <c r="F365" s="185"/>
      <c r="G365" s="185"/>
      <c r="H365" s="186"/>
      <c r="I365" s="81">
        <f t="shared" si="1"/>
        <v>0</v>
      </c>
      <c r="J365" s="86"/>
      <c r="K365" s="80"/>
      <c r="L365" s="185"/>
      <c r="M365" s="246"/>
      <c r="N365" s="412" t="s">
        <v>1401</v>
      </c>
      <c r="O365" s="412">
        <v>45.0</v>
      </c>
      <c r="P365" s="412">
        <v>4.0</v>
      </c>
    </row>
    <row r="366">
      <c r="A366" s="107" t="s">
        <v>776</v>
      </c>
      <c r="B366" s="415" t="str">
        <f>HYPERLINK("http://codeforces.com/contest/257/problem/C","CF257-D2-C")</f>
        <v>CF257-D2-C</v>
      </c>
      <c r="C366" s="185"/>
      <c r="D366" s="185"/>
      <c r="E366" s="185"/>
      <c r="F366" s="185"/>
      <c r="G366" s="185"/>
      <c r="H366" s="186"/>
      <c r="I366" s="81">
        <f t="shared" si="1"/>
        <v>0</v>
      </c>
      <c r="J366" s="86"/>
      <c r="K366" s="80"/>
      <c r="L366" s="120"/>
      <c r="M366" s="418" t="str">
        <f>HYPERLINK("https://github.com/mostafa-saad/MyCompetitiveProgramming/blob/master/Codeforces/CF257-D2-C-AhmedOsama.pdf","Editorial - Eng Ahmed Osama")</f>
        <v>Editorial - Eng Ahmed Osama</v>
      </c>
      <c r="N366" s="412" t="s">
        <v>1410</v>
      </c>
      <c r="O366" s="412">
        <v>45.0</v>
      </c>
      <c r="P366" s="412">
        <v>4.0</v>
      </c>
    </row>
    <row r="367">
      <c r="A367" s="107" t="s">
        <v>576</v>
      </c>
      <c r="B367" s="415" t="str">
        <f>HYPERLINK("http://codeforces.com/contest/651/problem/C","CF651-D2-C")</f>
        <v>CF651-D2-C</v>
      </c>
      <c r="C367" s="185"/>
      <c r="D367" s="185"/>
      <c r="E367" s="185"/>
      <c r="F367" s="185"/>
      <c r="G367" s="185"/>
      <c r="H367" s="186"/>
      <c r="I367" s="81">
        <f t="shared" si="1"/>
        <v>0</v>
      </c>
      <c r="J367" s="126"/>
      <c r="K367" s="125"/>
      <c r="L367" s="185"/>
      <c r="M367" s="430"/>
      <c r="N367" s="412" t="s">
        <v>1411</v>
      </c>
      <c r="O367" s="412">
        <v>45.0</v>
      </c>
      <c r="P367" s="412">
        <v>4.0</v>
      </c>
    </row>
    <row r="368">
      <c r="A368" s="107" t="s">
        <v>1038</v>
      </c>
      <c r="B368" s="415" t="str">
        <f>HYPERLINK("http://codeforces.com/contest/659/problem/D","CF659-D2-D")</f>
        <v>CF659-D2-D</v>
      </c>
      <c r="C368" s="185"/>
      <c r="D368" s="185"/>
      <c r="E368" s="185"/>
      <c r="F368" s="185"/>
      <c r="G368" s="185"/>
      <c r="H368" s="186"/>
      <c r="I368" s="81">
        <f t="shared" si="1"/>
        <v>0</v>
      </c>
      <c r="J368" s="126"/>
      <c r="K368" s="125"/>
      <c r="L368" s="185"/>
      <c r="M368" s="430"/>
      <c r="N368" s="412" t="s">
        <v>1412</v>
      </c>
      <c r="O368" s="412">
        <v>45.0</v>
      </c>
      <c r="P368" s="412">
        <v>4.5</v>
      </c>
      <c r="Q368" s="21" t="s">
        <v>1237</v>
      </c>
    </row>
    <row r="369">
      <c r="A369" s="107" t="s">
        <v>732</v>
      </c>
      <c r="B369" s="415" t="str">
        <f>HYPERLINK("http://www.spoj.com/problems/PIR/","SPOJ PIR")</f>
        <v>SPOJ PIR</v>
      </c>
      <c r="C369" s="185"/>
      <c r="D369" s="185"/>
      <c r="E369" s="185"/>
      <c r="F369" s="185"/>
      <c r="G369" s="185"/>
      <c r="H369" s="186"/>
      <c r="I369" s="81">
        <f t="shared" si="1"/>
        <v>0</v>
      </c>
      <c r="J369" s="86"/>
      <c r="K369" s="80"/>
      <c r="L369" s="185"/>
      <c r="M369" s="432" t="str">
        <f>HYPERLINK("https://github.com/mostafa-saad/MyCompetitiveProgramming/blob/master/SPOJ/SPOJ_PIR.txt","Sol")</f>
        <v>Sol</v>
      </c>
      <c r="N369" s="412" t="s">
        <v>1413</v>
      </c>
      <c r="O369" s="412">
        <v>45.0</v>
      </c>
      <c r="P369" s="412">
        <v>4.5</v>
      </c>
      <c r="Q369" s="21" t="s">
        <v>1231</v>
      </c>
    </row>
    <row r="370">
      <c r="A370" s="107" t="s">
        <v>612</v>
      </c>
      <c r="B370" s="415" t="str">
        <f>HYPERLINK("http://codeforces.com/contest/707/problem/C","CF707-D2-C")</f>
        <v>CF707-D2-C</v>
      </c>
      <c r="C370" s="185"/>
      <c r="D370" s="185"/>
      <c r="E370" s="185"/>
      <c r="F370" s="185"/>
      <c r="G370" s="185"/>
      <c r="H370" s="186"/>
      <c r="I370" s="81">
        <f t="shared" si="1"/>
        <v>0</v>
      </c>
      <c r="J370" s="86"/>
      <c r="K370" s="80"/>
      <c r="L370" s="185"/>
      <c r="M370" s="257"/>
      <c r="N370" s="444" t="s">
        <v>1414</v>
      </c>
      <c r="O370" s="412">
        <v>45.0</v>
      </c>
      <c r="P370" s="412">
        <v>4.5</v>
      </c>
      <c r="Q370" s="21" t="s">
        <v>1235</v>
      </c>
    </row>
    <row r="371">
      <c r="A371" s="107"/>
      <c r="B371" s="415" t="str">
        <f>HYPERLINK("https://www.spoj.com/problems/BILLIARD/","SPOJ BILLIARD")</f>
        <v>SPOJ BILLIARD</v>
      </c>
      <c r="C371" s="185"/>
      <c r="D371" s="185"/>
      <c r="E371" s="185"/>
      <c r="F371" s="185"/>
      <c r="G371" s="185"/>
      <c r="H371" s="186"/>
      <c r="I371" s="81">
        <f t="shared" si="1"/>
        <v>0</v>
      </c>
      <c r="J371" s="126"/>
      <c r="K371" s="125"/>
      <c r="L371" s="445"/>
      <c r="M371" s="321" t="str">
        <f>HYPERLINK("https://github.com/osamahatem/CompetitiveProgramming/blob/master/SPOJ/BILLIARD.cpp","Sol")</f>
        <v>Sol</v>
      </c>
      <c r="N371" s="412" t="s">
        <v>1415</v>
      </c>
      <c r="O371" s="412">
        <v>45.0</v>
      </c>
      <c r="P371" s="412">
        <v>5.0</v>
      </c>
      <c r="Q371" s="21"/>
    </row>
    <row r="372">
      <c r="A372" s="107" t="s">
        <v>948</v>
      </c>
      <c r="B372" s="415" t="str">
        <f>HYPERLINK("http://codeforces.com/contest/342/problem/C","CF342-D2-C")</f>
        <v>CF342-D2-C</v>
      </c>
      <c r="C372" s="185"/>
      <c r="D372" s="185"/>
      <c r="E372" s="185"/>
      <c r="F372" s="185"/>
      <c r="G372" s="185"/>
      <c r="H372" s="186"/>
      <c r="I372" s="81">
        <f t="shared" si="1"/>
        <v>0</v>
      </c>
      <c r="J372" s="126"/>
      <c r="K372" s="125"/>
      <c r="L372" s="185"/>
      <c r="M372" s="430"/>
      <c r="N372" s="412" t="s">
        <v>1401</v>
      </c>
      <c r="O372" s="412">
        <v>45.0</v>
      </c>
      <c r="P372" s="412">
        <v>5.0</v>
      </c>
      <c r="Q372" s="21" t="s">
        <v>1237</v>
      </c>
    </row>
    <row r="373">
      <c r="A373" s="107"/>
      <c r="B373" s="415" t="str">
        <f>HYPERLINK("https://codeforces.com/contest/1064/problem/E","CF1064-D2-E")</f>
        <v>CF1064-D2-E</v>
      </c>
      <c r="C373" s="185"/>
      <c r="D373" s="185"/>
      <c r="E373" s="185"/>
      <c r="F373" s="185"/>
      <c r="G373" s="185"/>
      <c r="H373" s="186"/>
      <c r="I373" s="81">
        <f t="shared" si="1"/>
        <v>0</v>
      </c>
      <c r="J373" s="86"/>
      <c r="K373" s="80"/>
      <c r="L373" s="185"/>
      <c r="M373" s="435"/>
      <c r="N373" s="412" t="s">
        <v>1416</v>
      </c>
      <c r="O373" s="412">
        <v>45.0</v>
      </c>
      <c r="P373" s="412">
        <v>5.0</v>
      </c>
      <c r="Q373" s="21" t="s">
        <v>1237</v>
      </c>
    </row>
    <row r="374">
      <c r="A374" s="107"/>
      <c r="B374" s="415" t="str">
        <f>HYPERLINK("http://codeforces.com/problemset/problem/961/D","CF961-D12-D")</f>
        <v>CF961-D12-D</v>
      </c>
      <c r="C374" s="185"/>
      <c r="D374" s="185"/>
      <c r="E374" s="185"/>
      <c r="F374" s="185"/>
      <c r="G374" s="185"/>
      <c r="H374" s="186"/>
      <c r="I374" s="81">
        <f t="shared" si="1"/>
        <v>0</v>
      </c>
      <c r="J374" s="86"/>
      <c r="K374" s="80"/>
      <c r="L374" s="185"/>
      <c r="M374" s="428"/>
      <c r="N374" s="412" t="s">
        <v>1401</v>
      </c>
      <c r="O374" s="412">
        <v>45.0</v>
      </c>
      <c r="P374" s="412">
        <v>5.0</v>
      </c>
      <c r="Q374" s="21" t="s">
        <v>1235</v>
      </c>
    </row>
    <row r="375">
      <c r="A375" s="107"/>
      <c r="B375" s="415" t="str">
        <f>HYPERLINK("https://codeforces.com/gym/101917/problem/E", "CF101917-D12-E")</f>
        <v>CF101917-D12-E</v>
      </c>
      <c r="C375" s="185"/>
      <c r="D375" s="185"/>
      <c r="E375" s="185"/>
      <c r="F375" s="185"/>
      <c r="G375" s="185"/>
      <c r="H375" s="186"/>
      <c r="I375" s="81">
        <f t="shared" si="1"/>
        <v>0</v>
      </c>
      <c r="J375" s="126"/>
      <c r="K375" s="125"/>
      <c r="L375" s="185"/>
      <c r="M375" s="430"/>
      <c r="N375" s="412" t="s">
        <v>1417</v>
      </c>
      <c r="O375" s="412">
        <v>45.0</v>
      </c>
      <c r="P375" s="412">
        <v>5.0</v>
      </c>
      <c r="Q375" s="21" t="s">
        <v>1235</v>
      </c>
    </row>
    <row r="376">
      <c r="A376" s="107"/>
      <c r="B376" s="415" t="str">
        <f>HYPERLINK("http://codeforces.com/contest/552/problem/D","CF552-D2-D")</f>
        <v>CF552-D2-D</v>
      </c>
      <c r="C376" s="185"/>
      <c r="D376" s="185"/>
      <c r="E376" s="185"/>
      <c r="F376" s="185"/>
      <c r="G376" s="185"/>
      <c r="H376" s="186"/>
      <c r="I376" s="81">
        <f t="shared" si="1"/>
        <v>0</v>
      </c>
      <c r="J376" s="126"/>
      <c r="K376" s="125"/>
      <c r="L376" s="185"/>
      <c r="M376" s="430"/>
      <c r="N376" s="412" t="s">
        <v>1418</v>
      </c>
      <c r="O376" s="412">
        <v>45.0</v>
      </c>
      <c r="P376" s="412">
        <v>5.0</v>
      </c>
      <c r="Q376" s="21" t="s">
        <v>1235</v>
      </c>
    </row>
    <row r="377">
      <c r="A377" s="107"/>
      <c r="B377" s="415" t="str">
        <f>HYPERLINK("https://github.com/racsosabe/CompetitiveProgramming/blob/master/CodeForces/CF1016-D2-E.cpp","CF1016-D2-E")</f>
        <v>CF1016-D2-E</v>
      </c>
      <c r="C377" s="185"/>
      <c r="D377" s="185"/>
      <c r="E377" s="185"/>
      <c r="F377" s="185"/>
      <c r="G377" s="185"/>
      <c r="H377" s="186"/>
      <c r="I377" s="81">
        <f t="shared" si="1"/>
        <v>0</v>
      </c>
      <c r="J377" s="86"/>
      <c r="K377" s="80"/>
      <c r="L377" s="185"/>
      <c r="M377" s="435"/>
      <c r="N377" s="412" t="s">
        <v>1419</v>
      </c>
      <c r="O377" s="412">
        <v>45.0</v>
      </c>
      <c r="P377" s="412">
        <v>5.0</v>
      </c>
      <c r="Q377" s="21" t="s">
        <v>1235</v>
      </c>
    </row>
    <row r="378">
      <c r="A378" s="107"/>
      <c r="B378" s="415" t="str">
        <f>HYPERLINK("http://codeforces.com/contest/1058/problem/D","CF1058-D2-D")</f>
        <v>CF1058-D2-D</v>
      </c>
      <c r="C378" s="185"/>
      <c r="D378" s="185"/>
      <c r="E378" s="185"/>
      <c r="F378" s="185"/>
      <c r="G378" s="185"/>
      <c r="H378" s="186"/>
      <c r="I378" s="81">
        <f t="shared" si="1"/>
        <v>0</v>
      </c>
      <c r="J378" s="126"/>
      <c r="K378" s="125"/>
      <c r="L378" s="185"/>
      <c r="M378" s="430"/>
      <c r="N378" s="412" t="s">
        <v>1420</v>
      </c>
      <c r="O378" s="412">
        <v>45.0</v>
      </c>
      <c r="P378" s="412">
        <v>5.0</v>
      </c>
      <c r="Q378" s="21" t="s">
        <v>1235</v>
      </c>
    </row>
    <row r="379">
      <c r="A379" s="107"/>
      <c r="B379" s="107" t="s">
        <v>1131</v>
      </c>
      <c r="C379" s="185"/>
      <c r="D379" s="185"/>
      <c r="E379" s="185"/>
      <c r="F379" s="185"/>
      <c r="G379" s="185"/>
      <c r="H379" s="186"/>
      <c r="I379" s="81">
        <f t="shared" si="1"/>
        <v>0</v>
      </c>
      <c r="J379" s="120"/>
      <c r="K379" s="185"/>
      <c r="L379" s="434"/>
      <c r="M379" s="321" t="str">
        <f>HYPERLINK("https://github.com/morris821028/UVa/blob/master/volume013/1342%20-%20That%20Nice%20Euler%20Circuit.cpp","Sol")</f>
        <v>Sol</v>
      </c>
      <c r="N379" s="412" t="s">
        <v>1421</v>
      </c>
      <c r="O379" s="412">
        <v>45.0</v>
      </c>
      <c r="P379" s="412">
        <v>5.0</v>
      </c>
    </row>
    <row r="380">
      <c r="A380" s="107"/>
      <c r="B380" s="415" t="str">
        <f>HYPERLINK("http://codeforces.com/gym/101864/problem/L","CF101864-GYM-L")</f>
        <v>CF101864-GYM-L</v>
      </c>
      <c r="C380" s="185"/>
      <c r="D380" s="185"/>
      <c r="E380" s="185"/>
      <c r="F380" s="185"/>
      <c r="G380" s="185"/>
      <c r="H380" s="186"/>
      <c r="I380" s="81">
        <f t="shared" si="1"/>
        <v>0</v>
      </c>
      <c r="J380" s="86"/>
      <c r="K380" s="80"/>
      <c r="L380" s="434"/>
      <c r="M380" s="432" t="str">
        <f>HYPERLINK("https://github.com/SpeedOfMagic/CompetitiveProgramming/blob/master/CodeforcesGym/CF101864-GYM-L.cpp","Sol")</f>
        <v>Sol</v>
      </c>
      <c r="N380" s="412" t="s">
        <v>1422</v>
      </c>
      <c r="O380" s="412">
        <v>45.0</v>
      </c>
      <c r="P380" s="412">
        <v>5.5</v>
      </c>
      <c r="Q380" s="21" t="s">
        <v>1237</v>
      </c>
    </row>
    <row r="381">
      <c r="A381" s="107"/>
      <c r="B381" s="415" t="str">
        <f>HYPERLINK("http://codeforces.com/contest/80/problem/D","CF80-D2-D")</f>
        <v>CF80-D2-D</v>
      </c>
      <c r="C381" s="185"/>
      <c r="D381" s="185"/>
      <c r="E381" s="185"/>
      <c r="F381" s="185"/>
      <c r="G381" s="185"/>
      <c r="H381" s="186"/>
      <c r="I381" s="81">
        <f t="shared" si="1"/>
        <v>0</v>
      </c>
      <c r="J381" s="126"/>
      <c r="K381" s="125"/>
      <c r="L381" s="185"/>
      <c r="M381" s="435"/>
      <c r="N381" s="412" t="s">
        <v>1423</v>
      </c>
      <c r="O381" s="412">
        <v>45.0</v>
      </c>
      <c r="P381" s="412">
        <v>5.5</v>
      </c>
      <c r="Q381" s="21" t="s">
        <v>1235</v>
      </c>
    </row>
    <row r="382">
      <c r="A382" s="107"/>
      <c r="B382" s="107" t="s">
        <v>1072</v>
      </c>
      <c r="C382" s="185"/>
      <c r="D382" s="185"/>
      <c r="E382" s="185"/>
      <c r="F382" s="185"/>
      <c r="G382" s="185"/>
      <c r="H382" s="186"/>
      <c r="I382" s="81">
        <f t="shared" si="1"/>
        <v>0</v>
      </c>
      <c r="J382" s="86"/>
      <c r="K382" s="80"/>
      <c r="L382" s="434"/>
      <c r="M382" s="432" t="str">
        <f>HYPERLINK("https://github.com/mostafa-saad/MyCompetitiveProgramming/blob/master/UVA/UVA_11648.txt", "Sol")</f>
        <v>Sol</v>
      </c>
      <c r="N382" s="412" t="s">
        <v>1424</v>
      </c>
      <c r="O382" s="412">
        <v>45.0</v>
      </c>
      <c r="P382" s="412">
        <v>6.0</v>
      </c>
      <c r="Q382" s="21" t="s">
        <v>1235</v>
      </c>
    </row>
    <row r="383">
      <c r="A383" s="107"/>
      <c r="B383" s="107" t="s">
        <v>991</v>
      </c>
      <c r="C383" s="185"/>
      <c r="D383" s="185"/>
      <c r="E383" s="185"/>
      <c r="F383" s="185"/>
      <c r="G383" s="185"/>
      <c r="H383" s="186"/>
      <c r="I383" s="81">
        <f t="shared" si="1"/>
        <v>0</v>
      </c>
      <c r="J383" s="126"/>
      <c r="K383" s="125"/>
      <c r="L383" s="185"/>
      <c r="M383" s="432" t="str">
        <f>HYPERLINK("https://github.com/mostafa-saad/MyCompetitiveProgramming/blob/master/UVA/UVA_1333.txt","Sol - Text/Background Clarification")</f>
        <v>Sol - Text/Background Clarification</v>
      </c>
      <c r="N383" s="412" t="s">
        <v>1425</v>
      </c>
      <c r="O383" s="412">
        <v>45.0</v>
      </c>
      <c r="P383" s="412">
        <v>6.0</v>
      </c>
      <c r="Q383" s="21" t="s">
        <v>1231</v>
      </c>
    </row>
    <row r="384">
      <c r="A384" s="107" t="s">
        <v>1051</v>
      </c>
      <c r="B384" s="415" t="str">
        <f>HYPERLINK("http://codeforces.com/contest/203/problem/D","CF203-D2-D")</f>
        <v>CF203-D2-D</v>
      </c>
      <c r="C384" s="185"/>
      <c r="D384" s="185"/>
      <c r="E384" s="185"/>
      <c r="F384" s="185"/>
      <c r="G384" s="185"/>
      <c r="H384" s="186"/>
      <c r="I384" s="81">
        <f t="shared" si="1"/>
        <v>0</v>
      </c>
      <c r="J384" s="86"/>
      <c r="K384" s="80"/>
      <c r="L384" s="434"/>
      <c r="M384" s="428"/>
      <c r="N384" s="412" t="s">
        <v>1426</v>
      </c>
      <c r="O384" s="412">
        <v>46.0</v>
      </c>
      <c r="P384" s="412">
        <v>5.0</v>
      </c>
      <c r="Q384" s="21" t="s">
        <v>1235</v>
      </c>
    </row>
    <row r="385">
      <c r="A385" s="107"/>
      <c r="B385" s="107" t="s">
        <v>765</v>
      </c>
      <c r="C385" s="185"/>
      <c r="D385" s="185"/>
      <c r="E385" s="185"/>
      <c r="F385" s="185"/>
      <c r="G385" s="185"/>
      <c r="H385" s="186"/>
      <c r="I385" s="81">
        <f t="shared" si="1"/>
        <v>0</v>
      </c>
      <c r="J385" s="126"/>
      <c r="K385" s="125"/>
      <c r="L385" s="120"/>
      <c r="M385" s="424" t="str">
        <f>HYPERLINK("https://github.com/MeGaCrazy/CompetitiveProgramming/blob/c099628e643065a7bae09af22c4cbce1216e4db9/UVA/UVA_453.cpp","Learn Handling Precisions")</f>
        <v>Learn Handling Precisions</v>
      </c>
      <c r="N385" s="412" t="s">
        <v>1427</v>
      </c>
      <c r="O385" s="412">
        <v>47.0</v>
      </c>
      <c r="P385" s="412">
        <v>2.0</v>
      </c>
      <c r="Q385" s="21"/>
    </row>
    <row r="386">
      <c r="A386" s="107" t="s">
        <v>828</v>
      </c>
      <c r="B386" s="415" t="str">
        <f>HYPERLINK("https://uva.onlinejudge.org/index.php?option=onlinejudge&amp;page=show_problem&amp;problem=4601","UVA 12748")</f>
        <v>UVA 12748</v>
      </c>
      <c r="C386" s="185"/>
      <c r="D386" s="185"/>
      <c r="E386" s="185"/>
      <c r="F386" s="185"/>
      <c r="G386" s="185"/>
      <c r="H386" s="186"/>
      <c r="I386" s="81">
        <f t="shared" si="1"/>
        <v>0</v>
      </c>
      <c r="J386" s="86"/>
      <c r="K386" s="80"/>
      <c r="L386" s="185"/>
      <c r="M386" s="432" t="str">
        <f>HYPERLINK("https://github.com/MeGaCrazy/CompetitiveProgramming/blob/29ebad1d90e70a17ac4e646e5f049b980fb777de/UVA/UVA_12748.cpp","Sol")</f>
        <v>Sol</v>
      </c>
      <c r="N386" s="412" t="s">
        <v>1428</v>
      </c>
      <c r="O386" s="412">
        <v>47.0</v>
      </c>
      <c r="P386" s="412">
        <v>2.0</v>
      </c>
    </row>
    <row r="387">
      <c r="A387" s="107" t="s">
        <v>784</v>
      </c>
      <c r="B387" s="415" t="str">
        <f>HYPERLINK("https://uva.onlinejudge.org/index.php?option=onlinejudge&amp;page=show_problem&amp;problem=1242","UVA 10301")</f>
        <v>UVA 10301</v>
      </c>
      <c r="C387" s="185"/>
      <c r="D387" s="185"/>
      <c r="E387" s="185"/>
      <c r="F387" s="185"/>
      <c r="G387" s="185"/>
      <c r="H387" s="186"/>
      <c r="I387" s="81">
        <f t="shared" si="1"/>
        <v>0</v>
      </c>
      <c r="J387" s="86"/>
      <c r="K387" s="80"/>
      <c r="L387" s="185"/>
      <c r="M387" s="432" t="str">
        <f>HYPERLINK("https://github.com/MeGaCrazy/CompetitiveProgramming/blob/51252e18803855ed2eacedc50f53b90fe8d184e6/UVA/UVA_10301.cpp","Sol")</f>
        <v>Sol</v>
      </c>
      <c r="N387" s="412" t="s">
        <v>1429</v>
      </c>
      <c r="O387" s="412">
        <v>47.0</v>
      </c>
      <c r="P387" s="412">
        <v>3.0</v>
      </c>
      <c r="Q387" s="21" t="s">
        <v>1231</v>
      </c>
    </row>
    <row r="388">
      <c r="A388" s="107" t="s">
        <v>764</v>
      </c>
      <c r="B388" s="415" t="str">
        <f>HYPERLINK("https://uva.onlinejudge.org/index.php?option=onlinejudge&amp;page=show_problem&amp;problem=292","UVA 356")</f>
        <v>UVA 356</v>
      </c>
      <c r="C388" s="185"/>
      <c r="D388" s="185"/>
      <c r="E388" s="185"/>
      <c r="F388" s="185"/>
      <c r="G388" s="185"/>
      <c r="H388" s="186"/>
      <c r="I388" s="81">
        <f t="shared" si="1"/>
        <v>0</v>
      </c>
      <c r="J388" s="86"/>
      <c r="K388" s="80"/>
      <c r="L388" s="120"/>
      <c r="M388" s="418" t="str">
        <f>HYPERLINK("https://github.com/AymanSalah96/CompetitiveProgramming/blob/master/UVA/356.cpp","Sol to read")</f>
        <v>Sol to read</v>
      </c>
      <c r="N388" s="412" t="s">
        <v>1430</v>
      </c>
      <c r="O388" s="412">
        <v>47.0</v>
      </c>
      <c r="P388" s="412">
        <v>3.0</v>
      </c>
    </row>
    <row r="389">
      <c r="A389" s="107" t="s">
        <v>762</v>
      </c>
      <c r="B389" s="415" t="str">
        <f>HYPERLINK("https://uva.onlinejudge.org/index.php?option=onlinejudge&amp;page=show_problem&amp;problem=379","UVA 438")</f>
        <v>UVA 438</v>
      </c>
      <c r="C389" s="185"/>
      <c r="D389" s="185"/>
      <c r="E389" s="185"/>
      <c r="F389" s="185"/>
      <c r="G389" s="185"/>
      <c r="H389" s="186"/>
      <c r="I389" s="81">
        <f t="shared" si="1"/>
        <v>0</v>
      </c>
      <c r="J389" s="86"/>
      <c r="K389" s="80"/>
      <c r="L389" s="120"/>
      <c r="M389" s="432" t="str">
        <f>HYPERLINK("https://github.com/hosamk92/CompetitiveProgramming/blob/master/UVA/UVA%20438.cpp","Sol")</f>
        <v>Sol</v>
      </c>
      <c r="N389" s="412" t="s">
        <v>1430</v>
      </c>
      <c r="O389" s="412">
        <v>47.0</v>
      </c>
      <c r="P389" s="412">
        <v>3.0</v>
      </c>
    </row>
    <row r="390">
      <c r="A390" s="107" t="s">
        <v>763</v>
      </c>
      <c r="B390" s="415" t="str">
        <f>HYPERLINK("https://uva.onlinejudge.org/index.php?option=com_onlinejudge&amp;Itemid=8&amp;page=show_problem&amp;problem=418","UVA 477")</f>
        <v>UVA 477</v>
      </c>
      <c r="C390" s="185"/>
      <c r="D390" s="185"/>
      <c r="E390" s="185"/>
      <c r="F390" s="185"/>
      <c r="G390" s="185"/>
      <c r="H390" s="186"/>
      <c r="I390" s="81">
        <f t="shared" si="1"/>
        <v>0</v>
      </c>
      <c r="J390" s="86"/>
      <c r="K390" s="80"/>
      <c r="L390" s="120"/>
      <c r="M390" s="432" t="str">
        <f>HYPERLINK("https://github.com/MeGaCrazy/CompetitiveProgramming/blob/5343b4e1aabd67db25a4864de4eb81eb094709e3/UVA/UVA_477.cpp","Sol")</f>
        <v>Sol</v>
      </c>
      <c r="N390" s="412" t="s">
        <v>1430</v>
      </c>
      <c r="O390" s="412">
        <v>47.0</v>
      </c>
      <c r="P390" s="412">
        <v>3.5</v>
      </c>
    </row>
    <row r="391">
      <c r="A391" s="107" t="s">
        <v>783</v>
      </c>
      <c r="B391" s="415" t="str">
        <f>HYPERLINK("http://codeforces.com/contest/199/problem/B","CF199-D2-B")</f>
        <v>CF199-D2-B</v>
      </c>
      <c r="C391" s="185"/>
      <c r="D391" s="185"/>
      <c r="E391" s="185"/>
      <c r="F391" s="185"/>
      <c r="G391" s="185"/>
      <c r="H391" s="186"/>
      <c r="I391" s="81">
        <f t="shared" si="1"/>
        <v>0</v>
      </c>
      <c r="J391" s="86"/>
      <c r="K391" s="80"/>
      <c r="L391" s="185"/>
      <c r="M391" s="257"/>
      <c r="N391" s="412" t="s">
        <v>1431</v>
      </c>
      <c r="O391" s="412">
        <v>47.0</v>
      </c>
      <c r="P391" s="412">
        <v>4.0</v>
      </c>
      <c r="Q391" s="21"/>
    </row>
    <row r="392">
      <c r="A392" s="107" t="s">
        <v>663</v>
      </c>
      <c r="B392" s="415" t="str">
        <f>HYPERLINK("http://codeforces.com/contest/84/problem/C","CF84-D2-C")</f>
        <v>CF84-D2-C</v>
      </c>
      <c r="C392" s="185"/>
      <c r="D392" s="185"/>
      <c r="E392" s="185"/>
      <c r="F392" s="185"/>
      <c r="G392" s="185"/>
      <c r="H392" s="186"/>
      <c r="I392" s="81">
        <f t="shared" si="1"/>
        <v>0</v>
      </c>
      <c r="J392" s="86"/>
      <c r="K392" s="80"/>
      <c r="L392" s="185"/>
      <c r="M392" s="428"/>
      <c r="N392" s="412" t="s">
        <v>1431</v>
      </c>
      <c r="O392" s="412">
        <v>47.0</v>
      </c>
      <c r="P392" s="412">
        <v>4.0</v>
      </c>
    </row>
    <row r="393">
      <c r="A393" s="107" t="s">
        <v>1062</v>
      </c>
      <c r="B393" s="415" t="str">
        <f>HYPERLINK("https://uva.onlinejudge.org/index.php?option=onlinejudge&amp;page=show_problem&amp;problem=946","UVA 10005")</f>
        <v>UVA 10005</v>
      </c>
      <c r="C393" s="185"/>
      <c r="D393" s="185"/>
      <c r="E393" s="185"/>
      <c r="F393" s="185"/>
      <c r="G393" s="185"/>
      <c r="H393" s="186"/>
      <c r="I393" s="81">
        <f t="shared" si="1"/>
        <v>0</v>
      </c>
      <c r="J393" s="86"/>
      <c r="K393" s="80"/>
      <c r="L393" s="434"/>
      <c r="M393" s="432" t="str">
        <f>HYPERLINK("https://github.com/mostafa-saad/MyCompetitiveProgramming/blob/master/UVA/UVA_10005.txt","Sol")</f>
        <v>Sol</v>
      </c>
      <c r="N393" s="412" t="s">
        <v>1432</v>
      </c>
      <c r="O393" s="412">
        <v>47.0</v>
      </c>
      <c r="P393" s="412">
        <v>5.0</v>
      </c>
      <c r="Q393" s="21" t="s">
        <v>1262</v>
      </c>
    </row>
    <row r="394">
      <c r="A394" s="107"/>
      <c r="B394" s="107" t="s">
        <v>1066</v>
      </c>
      <c r="C394" s="185"/>
      <c r="D394" s="185"/>
      <c r="E394" s="185"/>
      <c r="F394" s="185"/>
      <c r="G394" s="185"/>
      <c r="H394" s="186"/>
      <c r="I394" s="81">
        <f t="shared" si="1"/>
        <v>0</v>
      </c>
      <c r="J394" s="126"/>
      <c r="K394" s="125"/>
      <c r="L394" s="185"/>
      <c r="M394" s="428"/>
      <c r="N394" s="412" t="s">
        <v>1433</v>
      </c>
      <c r="O394" s="412">
        <v>47.0</v>
      </c>
      <c r="P394" s="412">
        <v>5.0</v>
      </c>
      <c r="Q394" s="21" t="s">
        <v>1237</v>
      </c>
    </row>
    <row r="395">
      <c r="A395" s="107"/>
      <c r="B395" s="415" t="str">
        <f>HYPERLINK("http://www.spoj.com/problems/ALIENS/","SPOJ ALIENS")</f>
        <v>SPOJ ALIENS</v>
      </c>
      <c r="C395" s="185"/>
      <c r="D395" s="185"/>
      <c r="E395" s="185"/>
      <c r="F395" s="185"/>
      <c r="G395" s="185"/>
      <c r="H395" s="186"/>
      <c r="I395" s="81">
        <f t="shared" si="1"/>
        <v>0</v>
      </c>
      <c r="J395" s="86"/>
      <c r="K395" s="80"/>
      <c r="L395" s="185"/>
      <c r="M395" s="432" t="str">
        <f>HYPERLINK("https://github.com/mostafa-saad/MyCompetitiveProgramming/blob/master/SPOJ/SPOJ_ALIENS.txt","Sol - Practice on min enclosing circle")</f>
        <v>Sol - Practice on min enclosing circle</v>
      </c>
      <c r="N395" s="412" t="s">
        <v>1434</v>
      </c>
      <c r="O395" s="412">
        <v>47.0</v>
      </c>
      <c r="P395" s="412">
        <v>5.0</v>
      </c>
      <c r="Q395" s="21" t="s">
        <v>1235</v>
      </c>
    </row>
    <row r="396">
      <c r="A396" s="107"/>
      <c r="B396" s="415" t="str">
        <f>HYPERLINK("https://codeforces.com/contest/1059/problem/D","CF1059-D2-D")</f>
        <v>CF1059-D2-D</v>
      </c>
      <c r="C396" s="185"/>
      <c r="D396" s="185"/>
      <c r="E396" s="185"/>
      <c r="F396" s="185"/>
      <c r="G396" s="185"/>
      <c r="H396" s="186"/>
      <c r="I396" s="81">
        <f t="shared" si="1"/>
        <v>0</v>
      </c>
      <c r="J396" s="126"/>
      <c r="K396" s="125"/>
      <c r="L396" s="434"/>
      <c r="M396" s="430"/>
      <c r="N396" s="412" t="s">
        <v>1435</v>
      </c>
      <c r="O396" s="412">
        <v>47.0</v>
      </c>
      <c r="P396" s="412">
        <v>5.25</v>
      </c>
      <c r="Q396" s="21" t="s">
        <v>1237</v>
      </c>
    </row>
    <row r="397">
      <c r="A397" s="107"/>
      <c r="B397" s="415" t="str">
        <f>HYPERLINK("https://www.hackerrank.com/challenges/house-location","HACKR house-location")</f>
        <v>HACKR house-location</v>
      </c>
      <c r="C397" s="185"/>
      <c r="D397" s="185"/>
      <c r="E397" s="185"/>
      <c r="F397" s="185"/>
      <c r="G397" s="185"/>
      <c r="H397" s="186"/>
      <c r="I397" s="81">
        <f t="shared" si="1"/>
        <v>0</v>
      </c>
      <c r="J397" s="126"/>
      <c r="K397" s="125"/>
      <c r="L397" s="185"/>
      <c r="M397" s="321" t="str">
        <f>HYPERLINK("https://github.com/arvindr9/CompetitiveProgramming/blob/master/Hackerrank/HACKR%20house-location.cpp","Sol")</f>
        <v>Sol</v>
      </c>
      <c r="N397" s="412" t="s">
        <v>1436</v>
      </c>
      <c r="O397" s="412">
        <v>47.0</v>
      </c>
      <c r="P397" s="412">
        <v>5.5</v>
      </c>
      <c r="Q397" s="21" t="s">
        <v>1237</v>
      </c>
    </row>
    <row r="398">
      <c r="A398" s="107"/>
      <c r="B398" s="107" t="s">
        <v>1091</v>
      </c>
      <c r="C398" s="185"/>
      <c r="D398" s="185"/>
      <c r="E398" s="185"/>
      <c r="F398" s="185"/>
      <c r="G398" s="185"/>
      <c r="H398" s="186"/>
      <c r="I398" s="81">
        <f t="shared" si="1"/>
        <v>0</v>
      </c>
      <c r="J398" s="126"/>
      <c r="K398" s="125"/>
      <c r="L398" s="185"/>
      <c r="M398" s="432" t="str">
        <f>HYPERLINK("https://github.com/OmarHashim/Competitive-Programming/blob/master/UVA/10180.cpp","Sol")</f>
        <v>Sol</v>
      </c>
      <c r="N398" s="412" t="s">
        <v>1437</v>
      </c>
      <c r="O398" s="412">
        <v>47.0</v>
      </c>
      <c r="P398" s="412">
        <v>5.5</v>
      </c>
      <c r="Q398" s="21" t="s">
        <v>1235</v>
      </c>
    </row>
    <row r="399">
      <c r="A399" s="107" t="s">
        <v>826</v>
      </c>
      <c r="B399" s="415" t="str">
        <f>HYPERLINK("https://uva.onlinejudge.org/index.php?option=onlinejudge&amp;page=show_problem&amp;problem=1204","UVA 10263")</f>
        <v>UVA 10263</v>
      </c>
      <c r="C399" s="185"/>
      <c r="D399" s="185"/>
      <c r="E399" s="185"/>
      <c r="F399" s="185"/>
      <c r="G399" s="185"/>
      <c r="H399" s="186"/>
      <c r="I399" s="81">
        <f t="shared" si="1"/>
        <v>0</v>
      </c>
      <c r="J399" s="86"/>
      <c r="K399" s="80"/>
      <c r="L399" s="185"/>
      <c r="M399" s="418" t="str">
        <f>HYPERLINK("https://github.com/MohamedNabil97/CompetitiveProgramming/blob/master/UVA/10263.cpp","Sol to read")</f>
        <v>Sol to read</v>
      </c>
      <c r="N399" s="412" t="s">
        <v>1438</v>
      </c>
      <c r="O399" s="412">
        <v>48.0</v>
      </c>
      <c r="P399" s="412">
        <v>3.0</v>
      </c>
      <c r="Q399" s="21" t="s">
        <v>1237</v>
      </c>
    </row>
    <row r="400">
      <c r="A400" s="107" t="s">
        <v>829</v>
      </c>
      <c r="B400" s="415" t="str">
        <f>HYPERLINK("https://uva.onlinejudge.org/index.php?option=com_onlinejudge&amp;Itemid=8&amp;page=show_problem&amp;problem=206","UVA 270")</f>
        <v>UVA 270</v>
      </c>
      <c r="C400" s="185"/>
      <c r="D400" s="185"/>
      <c r="E400" s="185"/>
      <c r="F400" s="185"/>
      <c r="G400" s="185"/>
      <c r="H400" s="186"/>
      <c r="I400" s="81">
        <f t="shared" si="1"/>
        <v>0</v>
      </c>
      <c r="J400" s="86"/>
      <c r="K400" s="80"/>
      <c r="L400" s="185"/>
      <c r="M400" s="260" t="str">
        <f>HYPERLINK("https://www.youtube.com/watch?v=EbB6g4GuNrQ","Video Solution - Eng Mohamed Nasser. Don't Code O(N^3)")</f>
        <v>Video Solution - Eng Mohamed Nasser. Don't Code O(N^3)</v>
      </c>
      <c r="N400" s="412" t="s">
        <v>1439</v>
      </c>
      <c r="O400" s="412">
        <v>48.0</v>
      </c>
      <c r="P400" s="412">
        <v>3.0</v>
      </c>
      <c r="Q400" s="21" t="s">
        <v>1237</v>
      </c>
    </row>
    <row r="401">
      <c r="A401" s="107" t="s">
        <v>1154</v>
      </c>
      <c r="B401" s="415" t="str">
        <f>HYPERLINK("https://uva.onlinejudge.org/index.php?option=onlinejudge&amp;page=show_problem&amp;problem=2468","UVA 11473")</f>
        <v>UVA 11473</v>
      </c>
      <c r="C401" s="185"/>
      <c r="D401" s="185"/>
      <c r="E401" s="185"/>
      <c r="F401" s="185"/>
      <c r="G401" s="185"/>
      <c r="H401" s="186"/>
      <c r="I401" s="81">
        <f t="shared" si="1"/>
        <v>0</v>
      </c>
      <c r="J401" s="86"/>
      <c r="K401" s="80"/>
      <c r="L401" s="434"/>
      <c r="M401" s="321" t="str">
        <f>HYPERLINK("https://github.com/osamahatem/CompetitiveProgramming/blob/master/UVA/11473%20-%20Campus%20Roads.cpp","Sol")</f>
        <v>Sol</v>
      </c>
      <c r="N401" s="412" t="s">
        <v>1440</v>
      </c>
      <c r="O401" s="412">
        <v>48.0</v>
      </c>
      <c r="P401" s="412">
        <v>3.0</v>
      </c>
      <c r="Q401" s="21" t="s">
        <v>1235</v>
      </c>
    </row>
    <row r="402">
      <c r="A402" s="107" t="s">
        <v>927</v>
      </c>
      <c r="B402" s="415" t="str">
        <f>HYPERLINK("http://codeforces.com/contest/617/problem/D","CF617-D2-D")</f>
        <v>CF617-D2-D</v>
      </c>
      <c r="C402" s="185"/>
      <c r="D402" s="185"/>
      <c r="E402" s="185"/>
      <c r="F402" s="185"/>
      <c r="G402" s="185"/>
      <c r="H402" s="186"/>
      <c r="I402" s="81">
        <f t="shared" si="1"/>
        <v>0</v>
      </c>
      <c r="J402" s="126"/>
      <c r="K402" s="125"/>
      <c r="L402" s="185"/>
      <c r="M402" s="430"/>
      <c r="N402" s="412" t="s">
        <v>1441</v>
      </c>
      <c r="O402" s="412">
        <v>48.0</v>
      </c>
      <c r="P402" s="412">
        <v>3.0</v>
      </c>
    </row>
    <row r="403">
      <c r="A403" s="107" t="s">
        <v>802</v>
      </c>
      <c r="B403" s="415" t="str">
        <f>HYPERLINK("https://uva.onlinejudge.org/index.php?option=com_onlinejudge&amp;Itemid=8&amp;page=show_problem&amp;problem=209","UVA 273")</f>
        <v>UVA 273</v>
      </c>
      <c r="C403" s="185"/>
      <c r="D403" s="185"/>
      <c r="E403" s="185"/>
      <c r="F403" s="185"/>
      <c r="G403" s="185"/>
      <c r="H403" s="186"/>
      <c r="I403" s="81">
        <f t="shared" si="1"/>
        <v>0</v>
      </c>
      <c r="J403" s="126"/>
      <c r="K403" s="125"/>
      <c r="L403" s="185"/>
      <c r="M403" s="432" t="str">
        <f>HYPERLINK("https://github.com/MeGaCrazy/CompetitiveProgramming/blob/6c8e6d79950bbe406f56e3b990159810fcca7431/UVA/UVA_273.cpp","Sol")</f>
        <v>Sol</v>
      </c>
      <c r="N403" s="412" t="s">
        <v>1442</v>
      </c>
      <c r="O403" s="412">
        <v>48.0</v>
      </c>
      <c r="P403" s="412">
        <v>3.0</v>
      </c>
    </row>
    <row r="404">
      <c r="A404" s="107" t="s">
        <v>804</v>
      </c>
      <c r="B404" s="415" t="str">
        <f>HYPERLINK("https://uva.onlinejudge.org/index.php?option=com_onlinejudge&amp;Itemid=8&amp;page=show_problem&amp;problem=2318","UVA 11343")</f>
        <v>UVA 11343</v>
      </c>
      <c r="C404" s="185"/>
      <c r="D404" s="185"/>
      <c r="E404" s="185"/>
      <c r="F404" s="185"/>
      <c r="G404" s="185"/>
      <c r="H404" s="186"/>
      <c r="I404" s="81">
        <f t="shared" si="1"/>
        <v>0</v>
      </c>
      <c r="J404" s="86"/>
      <c r="K404" s="80"/>
      <c r="L404" s="185"/>
      <c r="M404" s="432" t="str">
        <f>HYPERLINK("https://github.com/hosamk92/CompetitiveProgramming/blob/master/UVA/UVA%2011343.cpp","Sol")</f>
        <v>Sol</v>
      </c>
      <c r="N404" s="412" t="s">
        <v>1443</v>
      </c>
      <c r="O404" s="412">
        <v>48.0</v>
      </c>
      <c r="P404" s="412">
        <v>3.0</v>
      </c>
    </row>
    <row r="405">
      <c r="A405" s="107" t="s">
        <v>454</v>
      </c>
      <c r="B405" s="415" t="str">
        <f>HYPERLINK("https://uva.onlinejudge.org/index.php?option=com_onlinejudge&amp;Itemid=8&amp;page=show_problem&amp;problem=314","UVA 378")</f>
        <v>UVA 378</v>
      </c>
      <c r="C405" s="185"/>
      <c r="D405" s="185"/>
      <c r="E405" s="185"/>
      <c r="F405" s="185"/>
      <c r="G405" s="185"/>
      <c r="H405" s="186"/>
      <c r="I405" s="81">
        <f t="shared" si="1"/>
        <v>0</v>
      </c>
      <c r="J405" s="86"/>
      <c r="K405" s="80"/>
      <c r="L405" s="185"/>
      <c r="M405" s="257"/>
      <c r="N405" s="412" t="s">
        <v>1444</v>
      </c>
      <c r="O405" s="412">
        <v>48.0</v>
      </c>
      <c r="P405" s="412">
        <v>3.5</v>
      </c>
    </row>
    <row r="406">
      <c r="A406" s="107"/>
      <c r="B406" s="107" t="s">
        <v>1089</v>
      </c>
      <c r="C406" s="185"/>
      <c r="D406" s="185"/>
      <c r="E406" s="185"/>
      <c r="F406" s="185"/>
      <c r="G406" s="185"/>
      <c r="H406" s="186"/>
      <c r="I406" s="81">
        <f t="shared" si="1"/>
        <v>0</v>
      </c>
      <c r="J406" s="126"/>
      <c r="K406" s="125"/>
      <c r="L406" s="434"/>
      <c r="M406" s="432" t="str">
        <f>HYPERLINK("https://github.com/AbdelrahmanRamadan/competitive-programming/blob/master/Topcoder/SRM373%20RectangleCrossings.cpp","Sol")</f>
        <v>Sol</v>
      </c>
      <c r="N406" s="412" t="s">
        <v>1445</v>
      </c>
      <c r="O406" s="412">
        <v>48.0</v>
      </c>
      <c r="P406" s="412">
        <v>4.0</v>
      </c>
      <c r="Q406" s="21"/>
    </row>
    <row r="407">
      <c r="A407" s="107" t="s">
        <v>761</v>
      </c>
      <c r="B407" s="415" t="str">
        <f>HYPERLINK("https://uva.onlinejudge.org/index.php?option=com_onlinejudge&amp;Itemid=8&amp;page=show_problem&amp;problem=807","UVA 866")</f>
        <v>UVA 866</v>
      </c>
      <c r="C407" s="185"/>
      <c r="D407" s="185"/>
      <c r="E407" s="185"/>
      <c r="F407" s="185"/>
      <c r="G407" s="185"/>
      <c r="H407" s="186"/>
      <c r="I407" s="81">
        <f t="shared" si="1"/>
        <v>0</v>
      </c>
      <c r="J407" s="86"/>
      <c r="K407" s="80"/>
      <c r="L407" s="120"/>
      <c r="M407" s="432" t="str">
        <f>HYPERLINK("https://github.com/MeGaCrazy/CompetitiveProgramming/blob/master/UVA/UVA_866.cpp","Sol")</f>
        <v>Sol</v>
      </c>
      <c r="N407" s="412" t="s">
        <v>1443</v>
      </c>
      <c r="O407" s="412">
        <v>48.0</v>
      </c>
      <c r="P407" s="412">
        <v>4.0</v>
      </c>
      <c r="Q407" s="21"/>
    </row>
    <row r="408">
      <c r="A408" s="107"/>
      <c r="B408" s="107" t="s">
        <v>1088</v>
      </c>
      <c r="C408" s="185"/>
      <c r="D408" s="185"/>
      <c r="E408" s="185"/>
      <c r="F408" s="185"/>
      <c r="G408" s="185"/>
      <c r="H408" s="186"/>
      <c r="I408" s="81">
        <f t="shared" si="1"/>
        <v>0</v>
      </c>
      <c r="J408" s="126"/>
      <c r="K408" s="125"/>
      <c r="L408" s="434"/>
      <c r="M408" s="432" t="str">
        <f>HYPERLINK("https://github.com/AbdelrahmanRamadan/competitive-programming/blob/master/Topcoder/SRM368%20Jumping%20Board.cpp","Sol")</f>
        <v>Sol</v>
      </c>
      <c r="N408" s="412" t="s">
        <v>1446</v>
      </c>
      <c r="O408" s="412">
        <v>48.0</v>
      </c>
      <c r="P408" s="412">
        <v>4.0</v>
      </c>
      <c r="Q408" s="21"/>
    </row>
    <row r="409">
      <c r="A409" s="107" t="s">
        <v>760</v>
      </c>
      <c r="B409" s="415" t="str">
        <f>HYPERLINK("https://uva.onlinejudge.org/index.php?option=onlinejudge&amp;page=show_problem&amp;problem=678","UVA 737")</f>
        <v>UVA 737</v>
      </c>
      <c r="C409" s="185"/>
      <c r="D409" s="185"/>
      <c r="E409" s="185"/>
      <c r="F409" s="185"/>
      <c r="G409" s="185"/>
      <c r="H409" s="186"/>
      <c r="I409" s="81">
        <f t="shared" si="1"/>
        <v>0</v>
      </c>
      <c r="J409" s="86"/>
      <c r="K409" s="80"/>
      <c r="L409" s="120"/>
      <c r="M409" s="432" t="str">
        <f>HYPERLINK("https://github.com/mostafa-saad/MyCompetitiveProgramming/blob/master/UVA/UVA_737.txt","Sol")</f>
        <v>Sol</v>
      </c>
      <c r="N409" s="412" t="s">
        <v>1443</v>
      </c>
      <c r="O409" s="412">
        <v>48.0</v>
      </c>
      <c r="P409" s="412">
        <v>4.0</v>
      </c>
      <c r="Q409" s="21"/>
    </row>
    <row r="410">
      <c r="A410" s="107" t="s">
        <v>938</v>
      </c>
      <c r="B410" s="415" t="str">
        <f>HYPERLINK("https://uva.onlinejudge.org/index.php?option=com_onlinejudge&amp;Itemid=8&amp;page=show_problem&amp;problem=774","UVA 833")</f>
        <v>UVA 833</v>
      </c>
      <c r="C410" s="185"/>
      <c r="D410" s="185"/>
      <c r="E410" s="185"/>
      <c r="F410" s="185"/>
      <c r="G410" s="185"/>
      <c r="H410" s="186"/>
      <c r="I410" s="81">
        <f t="shared" si="1"/>
        <v>0</v>
      </c>
      <c r="J410" s="126"/>
      <c r="K410" s="125"/>
      <c r="L410" s="434"/>
      <c r="M410" s="321" t="str">
        <f>HYPERLINK("https://github.com/AbdelrahmanRamadan/competitive-programming/blob/master/Topcoder/SRM368%20Jumping%20Board.cpp","Sol")</f>
        <v>Sol</v>
      </c>
      <c r="N410" s="412" t="s">
        <v>1447</v>
      </c>
      <c r="O410" s="412">
        <v>48.0</v>
      </c>
      <c r="P410" s="412">
        <v>4.0</v>
      </c>
      <c r="Q410" s="21" t="s">
        <v>1237</v>
      </c>
    </row>
    <row r="411">
      <c r="A411" s="107" t="s">
        <v>669</v>
      </c>
      <c r="B411" s="415" t="str">
        <f>HYPERLINK("https://uva.onlinejudge.org/index.php?option=onlinejudge&amp;page=show_problem&amp;problem=1731","UVA 10790")</f>
        <v>UVA 10790</v>
      </c>
      <c r="C411" s="185"/>
      <c r="D411" s="185"/>
      <c r="E411" s="185"/>
      <c r="F411" s="185"/>
      <c r="G411" s="185"/>
      <c r="H411" s="186"/>
      <c r="I411" s="81">
        <f t="shared" si="1"/>
        <v>0</v>
      </c>
      <c r="J411" s="86"/>
      <c r="K411" s="80"/>
      <c r="L411" s="185"/>
      <c r="M411" s="432" t="str">
        <f>HYPERLINK("https://github.com/MeGaCrazy/CompetitiveProgramming/blob/5b920a5ddab614e30ea12e7e3a7da12267a203ec/UVA/UVA_10790.cpp","Sol")</f>
        <v>Sol</v>
      </c>
      <c r="N411" s="412" t="s">
        <v>1448</v>
      </c>
      <c r="O411" s="412">
        <v>48.0</v>
      </c>
      <c r="P411" s="412">
        <v>4.0</v>
      </c>
      <c r="Q411" s="21" t="s">
        <v>1231</v>
      </c>
    </row>
    <row r="412">
      <c r="A412" s="107" t="s">
        <v>1086</v>
      </c>
      <c r="B412" s="107" t="s">
        <v>1087</v>
      </c>
      <c r="C412" s="185"/>
      <c r="D412" s="185"/>
      <c r="E412" s="185"/>
      <c r="F412" s="185"/>
      <c r="G412" s="185"/>
      <c r="H412" s="186"/>
      <c r="I412" s="81">
        <f t="shared" si="1"/>
        <v>0</v>
      </c>
      <c r="J412" s="126"/>
      <c r="K412" s="125"/>
      <c r="L412" s="434"/>
      <c r="M412" s="432" t="str">
        <f>HYPERLINK("https://github.com/mostafa-saad/MyCompetitiveProgramming/blob/master/UVA/UVA_10514.txt","Sol")</f>
        <v>Sol</v>
      </c>
      <c r="N412" s="412" t="s">
        <v>1449</v>
      </c>
      <c r="O412" s="412">
        <v>48.0</v>
      </c>
      <c r="P412" s="412">
        <v>5.0</v>
      </c>
    </row>
    <row r="413">
      <c r="A413" s="415" t="str">
        <f>HYPERLINK("https://community.topcoder.com/stat?c=problem_statement&amp;pm=5923&amp;rd=8075","BestTriangulation")</f>
        <v>BestTriangulation</v>
      </c>
      <c r="B413" s="107" t="s">
        <v>1060</v>
      </c>
      <c r="C413" s="185"/>
      <c r="D413" s="185"/>
      <c r="E413" s="185"/>
      <c r="F413" s="185"/>
      <c r="G413" s="185"/>
      <c r="H413" s="186"/>
      <c r="I413" s="81">
        <f t="shared" si="1"/>
        <v>0</v>
      </c>
      <c r="J413" s="86"/>
      <c r="K413" s="80"/>
      <c r="L413" s="185"/>
      <c r="M413" s="107"/>
      <c r="N413" s="412" t="s">
        <v>1450</v>
      </c>
      <c r="O413" s="412">
        <v>49.0</v>
      </c>
      <c r="P413" s="412">
        <v>2.0</v>
      </c>
    </row>
    <row r="414">
      <c r="A414" s="107" t="s">
        <v>792</v>
      </c>
      <c r="B414" s="415" t="str">
        <f>HYPERLINK("http://codeforces.com/contest/408/problem/C","CF408-D2-C")</f>
        <v>CF408-D2-C</v>
      </c>
      <c r="C414" s="185"/>
      <c r="D414" s="185"/>
      <c r="E414" s="185"/>
      <c r="F414" s="185"/>
      <c r="G414" s="185"/>
      <c r="H414" s="186"/>
      <c r="I414" s="81">
        <f t="shared" si="1"/>
        <v>0</v>
      </c>
      <c r="J414" s="126"/>
      <c r="K414" s="125"/>
      <c r="L414" s="185"/>
      <c r="M414" s="430"/>
      <c r="N414" s="412" t="s">
        <v>1451</v>
      </c>
      <c r="O414" s="412">
        <v>49.0</v>
      </c>
      <c r="P414" s="412">
        <v>4.0</v>
      </c>
    </row>
    <row r="415">
      <c r="A415" s="107"/>
      <c r="B415" s="107" t="s">
        <v>1074</v>
      </c>
      <c r="C415" s="185"/>
      <c r="D415" s="185"/>
      <c r="E415" s="185"/>
      <c r="F415" s="185"/>
      <c r="G415" s="185"/>
      <c r="H415" s="186"/>
      <c r="I415" s="81">
        <f t="shared" si="1"/>
        <v>0</v>
      </c>
      <c r="J415" s="86"/>
      <c r="K415" s="80"/>
      <c r="L415" s="434"/>
      <c r="M415" s="432" t="str">
        <f>HYPERLINK("https://github.com/AbdelrahmanRamadan/competitive-programming/blob/master/UVA/11665%20-%20Chinese%20Ink.cpp","Sol")</f>
        <v>Sol</v>
      </c>
      <c r="N415" s="412" t="s">
        <v>1452</v>
      </c>
      <c r="O415" s="412">
        <v>49.0</v>
      </c>
      <c r="P415" s="412">
        <v>4.0</v>
      </c>
    </row>
    <row r="416">
      <c r="A416" s="107"/>
      <c r="B416" s="107" t="s">
        <v>1075</v>
      </c>
      <c r="C416" s="185"/>
      <c r="D416" s="185"/>
      <c r="E416" s="185"/>
      <c r="F416" s="185"/>
      <c r="G416" s="185"/>
      <c r="H416" s="186"/>
      <c r="I416" s="81">
        <f t="shared" si="1"/>
        <v>0</v>
      </c>
      <c r="J416" s="86"/>
      <c r="K416" s="80"/>
      <c r="L416" s="434"/>
      <c r="M416" s="432" t="str">
        <f>HYPERLINK("https://github.com/AbdelrahmanRamadan/competitive-programming/blob/master/Timus/1599-Winding-Number.cpp","Sol")</f>
        <v>Sol</v>
      </c>
      <c r="N416" s="412" t="s">
        <v>1453</v>
      </c>
      <c r="O416" s="412">
        <v>49.0</v>
      </c>
      <c r="P416" s="412">
        <v>4.5</v>
      </c>
      <c r="Q416" s="21" t="s">
        <v>1231</v>
      </c>
    </row>
    <row r="417">
      <c r="A417" s="107"/>
      <c r="B417" s="107" t="s">
        <v>1073</v>
      </c>
      <c r="C417" s="185"/>
      <c r="D417" s="185"/>
      <c r="E417" s="185"/>
      <c r="F417" s="185"/>
      <c r="G417" s="185"/>
      <c r="H417" s="186"/>
      <c r="I417" s="81">
        <f t="shared" si="1"/>
        <v>0</v>
      </c>
      <c r="J417" s="86"/>
      <c r="K417" s="80"/>
      <c r="L417" s="434"/>
      <c r="M417" s="432" t="str">
        <f>HYPERLINK("https://github.com/mostafa-saad/MyCompetitiveProgramming/blob/master/UVA/UVA_881.txt","Sol")</f>
        <v>Sol</v>
      </c>
      <c r="N417" s="412" t="s">
        <v>1454</v>
      </c>
      <c r="O417" s="412">
        <v>49.0</v>
      </c>
      <c r="P417" s="412">
        <v>4.5</v>
      </c>
    </row>
    <row r="418">
      <c r="A418" s="107"/>
      <c r="B418" s="415" t="str">
        <f>HYPERLINK("http://codeforces.com/contest/340/problem/B","CF340-D2-B")</f>
        <v>CF340-D2-B</v>
      </c>
      <c r="C418" s="185"/>
      <c r="D418" s="185"/>
      <c r="E418" s="185"/>
      <c r="F418" s="185"/>
      <c r="G418" s="185"/>
      <c r="H418" s="186"/>
      <c r="I418" s="81">
        <f t="shared" si="1"/>
        <v>0</v>
      </c>
      <c r="J418" s="86"/>
      <c r="K418" s="80"/>
      <c r="L418" s="185"/>
      <c r="M418" s="257"/>
      <c r="N418" s="412" t="s">
        <v>1455</v>
      </c>
      <c r="O418" s="412">
        <v>49.0</v>
      </c>
      <c r="P418" s="412">
        <v>5.0</v>
      </c>
      <c r="Q418" s="21" t="s">
        <v>1235</v>
      </c>
    </row>
    <row r="419">
      <c r="A419" s="107" t="s">
        <v>1209</v>
      </c>
      <c r="B419" s="415" t="str">
        <f>HYPERLINK("http://codeforces.com/contest/801/problem/D","CF801-D2-D")</f>
        <v>CF801-D2-D</v>
      </c>
      <c r="C419" s="185"/>
      <c r="D419" s="185"/>
      <c r="E419" s="185"/>
      <c r="F419" s="185"/>
      <c r="G419" s="185"/>
      <c r="H419" s="186"/>
      <c r="I419" s="81">
        <f t="shared" si="1"/>
        <v>0</v>
      </c>
      <c r="J419" s="86"/>
      <c r="K419" s="80"/>
      <c r="L419" s="445"/>
      <c r="M419" s="441" t="str">
        <f>HYPERLINK("https://github.com/MeGaCrazy/CompetitiveProgramming/blob/ff934b5231a55818d401805db5e0caa0720a1fa4/Codeforces/CF801-D2-D.cpp","Sol")</f>
        <v>Sol</v>
      </c>
      <c r="N419" s="412" t="s">
        <v>1456</v>
      </c>
      <c r="O419" s="412">
        <v>49.0</v>
      </c>
      <c r="P419" s="412">
        <v>5.0</v>
      </c>
      <c r="Q419" s="21" t="s">
        <v>1235</v>
      </c>
    </row>
    <row r="420">
      <c r="A420" s="107" t="s">
        <v>1076</v>
      </c>
      <c r="B420" s="415" t="str">
        <f>HYPERLINK("https://uva.onlinejudge.org/index.php?option=onlinejudge&amp;page=show_problem&amp;problem=73","UVA 137")</f>
        <v>UVA 137</v>
      </c>
      <c r="C420" s="185"/>
      <c r="D420" s="185"/>
      <c r="E420" s="185"/>
      <c r="F420" s="185"/>
      <c r="G420" s="185"/>
      <c r="H420" s="186"/>
      <c r="I420" s="81">
        <f t="shared" si="1"/>
        <v>0</v>
      </c>
      <c r="J420" s="86"/>
      <c r="K420" s="80"/>
      <c r="L420" s="434"/>
      <c r="M420" s="432" t="str">
        <f>HYPERLINK("https://github.com/mostafa-saad/MyCompetitiveProgramming/blob/master/UVA/UVA_137.txt","Sol")</f>
        <v>Sol</v>
      </c>
      <c r="N420" s="412" t="s">
        <v>1457</v>
      </c>
      <c r="O420" s="412">
        <v>49.0</v>
      </c>
      <c r="P420" s="412">
        <v>5.5</v>
      </c>
      <c r="Q420" s="21" t="s">
        <v>1237</v>
      </c>
    </row>
    <row r="421">
      <c r="A421" s="107" t="s">
        <v>1208</v>
      </c>
      <c r="B421" s="415" t="str">
        <f>HYPERLINK("acm.tju.edu.cn/toj/showp1011.html","TJU 1011")</f>
        <v>TJU 1011</v>
      </c>
      <c r="C421" s="185"/>
      <c r="D421" s="185"/>
      <c r="E421" s="185"/>
      <c r="F421" s="185"/>
      <c r="G421" s="185"/>
      <c r="H421" s="186"/>
      <c r="I421" s="81">
        <f t="shared" si="1"/>
        <v>0</v>
      </c>
      <c r="J421" s="86"/>
      <c r="K421" s="80"/>
      <c r="L421" s="434"/>
      <c r="M421" s="432" t="str">
        <f>HYPERLINK("https://github.com/MedoN11/CompetitiveProgramming/blob/master/TJU/1011.cpp","Sol")</f>
        <v>Sol</v>
      </c>
      <c r="N421" s="412" t="s">
        <v>1458</v>
      </c>
      <c r="O421" s="412">
        <v>52.0</v>
      </c>
      <c r="P421" s="412">
        <v>4.5</v>
      </c>
      <c r="Q421" s="21" t="s">
        <v>1231</v>
      </c>
    </row>
    <row r="422">
      <c r="A422" s="107" t="s">
        <v>1061</v>
      </c>
      <c r="B422" s="415" t="str">
        <f>HYPERLINK("https://uva.onlinejudge.org/index.php?option=onlinejudge&amp;page=show_problem&amp;problem=1029","UVA 10088")</f>
        <v>UVA 10088</v>
      </c>
      <c r="C422" s="185"/>
      <c r="D422" s="185"/>
      <c r="E422" s="185"/>
      <c r="F422" s="185"/>
      <c r="G422" s="185"/>
      <c r="H422" s="186"/>
      <c r="I422" s="81">
        <f t="shared" si="1"/>
        <v>0</v>
      </c>
      <c r="J422" s="86"/>
      <c r="K422" s="80"/>
      <c r="L422" s="434"/>
      <c r="M422" s="430"/>
      <c r="N422" s="412" t="s">
        <v>1459</v>
      </c>
      <c r="O422" s="412">
        <v>52.0</v>
      </c>
      <c r="P422" s="412">
        <v>5.0</v>
      </c>
    </row>
    <row r="423">
      <c r="A423" s="107"/>
      <c r="B423" s="107" t="s">
        <v>1063</v>
      </c>
      <c r="C423" s="185"/>
      <c r="D423" s="185"/>
      <c r="E423" s="185"/>
      <c r="F423" s="185"/>
      <c r="G423" s="185"/>
      <c r="H423" s="186"/>
      <c r="I423" s="81">
        <f t="shared" si="1"/>
        <v>0</v>
      </c>
      <c r="J423" s="86"/>
      <c r="K423" s="80"/>
      <c r="L423" s="434"/>
      <c r="M423" s="432" t="str">
        <f>HYPERLINK("https://github.com/MeGaCrazy/CompetitiveProgramming/blob/c9f4ed6571a135dbc26cfeeb099384a8fec2ff92/LiveArchive/LIVEARCHIVE_2831.cpp","Use polygon cut")</f>
        <v>Use polygon cut</v>
      </c>
      <c r="N423" s="412" t="s">
        <v>1460</v>
      </c>
      <c r="O423" s="412">
        <v>53.0</v>
      </c>
      <c r="P423" s="412">
        <v>4.0</v>
      </c>
    </row>
    <row r="424">
      <c r="A424" s="107" t="s">
        <v>1064</v>
      </c>
      <c r="B424" s="415" t="str">
        <f>HYPERLINK("https://uva.onlinejudge.org/index.php?option=com_onlinejudge&amp;Itemid=8&amp;page=show_problem&amp;problem=529","UVA 588")</f>
        <v>UVA 588</v>
      </c>
      <c r="C424" s="185"/>
      <c r="D424" s="185"/>
      <c r="E424" s="185"/>
      <c r="F424" s="185"/>
      <c r="G424" s="185"/>
      <c r="H424" s="186"/>
      <c r="I424" s="81">
        <f t="shared" si="1"/>
        <v>0</v>
      </c>
      <c r="J424" s="86"/>
      <c r="K424" s="80"/>
      <c r="L424" s="434"/>
      <c r="M424" s="432" t="str">
        <f>HYPERLINK("https://github.com/mostafa-saad/MyCompetitiveProgramming/blob/master/UVA/588.cpp","Use polygon cut")</f>
        <v>Use polygon cut</v>
      </c>
      <c r="N424" s="412" t="s">
        <v>1461</v>
      </c>
      <c r="O424" s="412">
        <v>53.0</v>
      </c>
      <c r="P424" s="412">
        <v>6.0</v>
      </c>
      <c r="Q424" s="21" t="s">
        <v>1240</v>
      </c>
    </row>
    <row r="425">
      <c r="A425" s="107" t="s">
        <v>492</v>
      </c>
      <c r="B425" s="415" t="str">
        <f>HYPERLINK("https://uva.onlinejudge.org/index.php?option=com_onlinejudge&amp;Itemid=8&amp;page=show_problem&amp;problem=41","UVA 105")</f>
        <v>UVA 105</v>
      </c>
      <c r="C425" s="185"/>
      <c r="D425" s="185"/>
      <c r="E425" s="185"/>
      <c r="F425" s="185"/>
      <c r="G425" s="185"/>
      <c r="H425" s="186"/>
      <c r="I425" s="81">
        <f t="shared" si="1"/>
        <v>0</v>
      </c>
      <c r="J425" s="86"/>
      <c r="K425" s="80"/>
      <c r="L425" s="185"/>
      <c r="M425" s="431"/>
      <c r="N425" s="412" t="s">
        <v>1462</v>
      </c>
      <c r="O425" s="412"/>
      <c r="P425" s="412">
        <v>3.0</v>
      </c>
    </row>
    <row r="426">
      <c r="A426" s="107" t="s">
        <v>227</v>
      </c>
      <c r="B426" s="415" t="str">
        <f>HYPERLINK("https://uva.onlinejudge.org/index.php?option=onlinejudge&amp;page=show_problem&amp;problem=1393","UVA 10452")</f>
        <v>UVA 10452</v>
      </c>
      <c r="C426" s="185"/>
      <c r="D426" s="185"/>
      <c r="E426" s="185"/>
      <c r="F426" s="185"/>
      <c r="G426" s="185"/>
      <c r="H426" s="186"/>
      <c r="I426" s="81">
        <f t="shared" si="1"/>
        <v>0</v>
      </c>
      <c r="J426" s="120"/>
      <c r="K426" s="80"/>
      <c r="L426" s="120"/>
      <c r="M426" s="424" t="str">
        <f>HYPERLINK("https://www.youtube.com/watch?v=HtaczlDLylk","Video Solution - Eng Ayman Salah")</f>
        <v>Video Solution - Eng Ayman Salah</v>
      </c>
      <c r="N426" s="412" t="s">
        <v>1463</v>
      </c>
      <c r="O426" s="412">
        <v>55.0</v>
      </c>
      <c r="P426" s="412">
        <v>3.0</v>
      </c>
    </row>
    <row r="427">
      <c r="A427" s="107" t="s">
        <v>471</v>
      </c>
      <c r="B427" s="415" t="str">
        <f>HYPERLINK("https://uva.onlinejudge.org/index.php?option=com_onlinejudge&amp;Itemid=8&amp;page=show_problem&amp;problem=58","UVA 122")</f>
        <v>UVA 122</v>
      </c>
      <c r="C427" s="185"/>
      <c r="D427" s="185"/>
      <c r="E427" s="185"/>
      <c r="F427" s="185"/>
      <c r="G427" s="185"/>
      <c r="H427" s="186"/>
      <c r="I427" s="81">
        <f t="shared" si="1"/>
        <v>0</v>
      </c>
      <c r="J427" s="86"/>
      <c r="K427" s="80"/>
      <c r="L427" s="86"/>
      <c r="M427" s="421" t="str">
        <f>HYPERLINK("https://www.youtube.com/watch?v=b6D-7cqN2jM","Video Solution - SolverToBe (Java)")</f>
        <v>Video Solution - SolverToBe (Java)</v>
      </c>
      <c r="N427" s="412" t="s">
        <v>1464</v>
      </c>
      <c r="O427" s="412">
        <v>55.0</v>
      </c>
      <c r="P427" s="412">
        <v>3.0</v>
      </c>
    </row>
    <row r="428">
      <c r="A428" s="107" t="s">
        <v>816</v>
      </c>
      <c r="B428" s="415" t="str">
        <f>HYPERLINK("http://www.spoj.com/problems/PT07Z/","SPOJ PT07Z")</f>
        <v>SPOJ PT07Z</v>
      </c>
      <c r="C428" s="185"/>
      <c r="D428" s="185"/>
      <c r="E428" s="185"/>
      <c r="F428" s="185"/>
      <c r="G428" s="185"/>
      <c r="H428" s="186"/>
      <c r="I428" s="81">
        <f t="shared" si="1"/>
        <v>0</v>
      </c>
      <c r="J428" s="86"/>
      <c r="K428" s="80"/>
      <c r="L428" s="185"/>
      <c r="M428" s="432" t="str">
        <f>HYPERLINK("https://github.com/abdullaAshraf/Problem-Solving/blob/master/SPOJ/PT07Z.cpp","Sol")</f>
        <v>Sol</v>
      </c>
      <c r="N428" s="412" t="s">
        <v>1465</v>
      </c>
      <c r="O428" s="412">
        <v>55.0</v>
      </c>
      <c r="P428" s="412">
        <v>3.0</v>
      </c>
    </row>
    <row r="429">
      <c r="A429" s="107" t="s">
        <v>817</v>
      </c>
      <c r="B429" s="415" t="str">
        <f>HYPERLINK("https://uva.onlinejudge.org/index.php?option=com_onlinejudge&amp;Itemid=8&amp;page=show_problem&amp;problem=1249","UVA 10308")</f>
        <v>UVA 10308</v>
      </c>
      <c r="C429" s="185"/>
      <c r="D429" s="185"/>
      <c r="E429" s="185"/>
      <c r="F429" s="185"/>
      <c r="G429" s="185"/>
      <c r="H429" s="186"/>
      <c r="I429" s="81">
        <f t="shared" si="1"/>
        <v>0</v>
      </c>
      <c r="J429" s="86"/>
      <c r="K429" s="80"/>
      <c r="L429" s="185"/>
      <c r="M429" s="432" t="str">
        <f>HYPERLINK("https://github.com/ilyesG/Competitive-Programming/blob/master/UVA/UVA%2010308.cpp","Sol")</f>
        <v>Sol</v>
      </c>
      <c r="N429" s="412" t="s">
        <v>1465</v>
      </c>
      <c r="O429" s="412">
        <v>55.0</v>
      </c>
      <c r="P429" s="412">
        <v>3.0</v>
      </c>
    </row>
    <row r="430">
      <c r="A430" s="107"/>
      <c r="B430" s="415" t="str">
        <f>HYPERLINK("https://codeforces.com/contest/1068/problem/C","CF1068-D2-C")</f>
        <v>CF1068-D2-C</v>
      </c>
      <c r="C430" s="185"/>
      <c r="D430" s="185"/>
      <c r="E430" s="185"/>
      <c r="F430" s="185"/>
      <c r="G430" s="185"/>
      <c r="H430" s="186"/>
      <c r="I430" s="81">
        <f t="shared" si="1"/>
        <v>0</v>
      </c>
      <c r="J430" s="86"/>
      <c r="K430" s="80"/>
      <c r="L430" s="185"/>
      <c r="M430" s="436"/>
      <c r="N430" s="412" t="s">
        <v>1466</v>
      </c>
      <c r="O430" s="412">
        <v>55.0</v>
      </c>
      <c r="P430" s="412">
        <v>4.0</v>
      </c>
      <c r="Q430" s="21" t="s">
        <v>1235</v>
      </c>
    </row>
    <row r="431">
      <c r="A431" s="107" t="s">
        <v>904</v>
      </c>
      <c r="B431" s="415" t="str">
        <f>HYPERLINK("http://codeforces.com/contest/61/problem/D","CF61-D2-D")</f>
        <v>CF61-D2-D</v>
      </c>
      <c r="C431" s="185"/>
      <c r="D431" s="185"/>
      <c r="E431" s="185"/>
      <c r="F431" s="185"/>
      <c r="G431" s="185"/>
      <c r="H431" s="186"/>
      <c r="I431" s="81">
        <f t="shared" si="1"/>
        <v>0</v>
      </c>
      <c r="J431" s="86"/>
      <c r="K431" s="80"/>
      <c r="L431" s="185"/>
      <c r="M431" s="107"/>
      <c r="N431" s="412" t="s">
        <v>1467</v>
      </c>
      <c r="O431" s="412">
        <v>55.0</v>
      </c>
      <c r="P431" s="412">
        <v>4.0</v>
      </c>
      <c r="Q431" s="21" t="s">
        <v>1235</v>
      </c>
    </row>
    <row r="432">
      <c r="A432" s="107" t="s">
        <v>940</v>
      </c>
      <c r="B432" s="415" t="str">
        <f>HYPERLINK("https://uva.onlinejudge.org/index.php?option=com_onlinejudge&amp;Itemid=8&amp;page=show_problem&amp;problem=556","UVA 615")</f>
        <v>UVA 615</v>
      </c>
      <c r="C432" s="185"/>
      <c r="D432" s="185"/>
      <c r="E432" s="185"/>
      <c r="F432" s="185"/>
      <c r="G432" s="185"/>
      <c r="H432" s="186"/>
      <c r="I432" s="81">
        <f t="shared" si="1"/>
        <v>0</v>
      </c>
      <c r="J432" s="126"/>
      <c r="K432" s="125"/>
      <c r="L432" s="185"/>
      <c r="M432" s="435"/>
      <c r="N432" s="412" t="s">
        <v>1464</v>
      </c>
      <c r="O432" s="412">
        <v>55.0</v>
      </c>
      <c r="P432" s="412">
        <v>4.0</v>
      </c>
      <c r="Q432" s="21" t="s">
        <v>1231</v>
      </c>
    </row>
    <row r="433">
      <c r="A433" s="107" t="s">
        <v>743</v>
      </c>
      <c r="B433" s="415" t="str">
        <f>HYPERLINK("http://codeforces.com/contest/959/problem/C","CF959-D2-C")</f>
        <v>CF959-D2-C</v>
      </c>
      <c r="C433" s="185"/>
      <c r="D433" s="185"/>
      <c r="E433" s="185"/>
      <c r="F433" s="185"/>
      <c r="G433" s="185"/>
      <c r="H433" s="186"/>
      <c r="I433" s="81">
        <f t="shared" si="1"/>
        <v>0</v>
      </c>
      <c r="J433" s="86"/>
      <c r="K433" s="80"/>
      <c r="L433" s="185"/>
      <c r="M433" s="219" t="str">
        <f>HYPERLINK("https://www.youtube.com/watch?v=bvDYHy9ESnY&amp;","Video Solution - Eng Mohamed Salah")</f>
        <v>Video Solution - Eng Mohamed Salah</v>
      </c>
      <c r="N433" s="412" t="s">
        <v>1468</v>
      </c>
      <c r="O433" s="412">
        <v>55.0</v>
      </c>
      <c r="P433" s="287">
        <v>4.0</v>
      </c>
    </row>
    <row r="434">
      <c r="A434" s="107" t="s">
        <v>974</v>
      </c>
      <c r="B434" s="415" t="str">
        <f>HYPERLINK("https://uva.onlinejudge.org/index.php?option=onlinejudge&amp;page=show_problem&amp;problem=3801","UVA 12379")</f>
        <v>UVA 12379</v>
      </c>
      <c r="C434" s="185"/>
      <c r="D434" s="185"/>
      <c r="E434" s="185"/>
      <c r="F434" s="185"/>
      <c r="G434" s="185"/>
      <c r="H434" s="186"/>
      <c r="I434" s="81">
        <f t="shared" si="1"/>
        <v>0</v>
      </c>
      <c r="J434" s="126"/>
      <c r="K434" s="125"/>
      <c r="L434" s="185"/>
      <c r="M434" s="321" t="str">
        <f>HYPERLINK("https://github.com/abdullaAshraf/Problem-Solving/blob/master/UVA/12379.cpp","Sol")</f>
        <v>Sol</v>
      </c>
      <c r="N434" s="412" t="s">
        <v>1465</v>
      </c>
      <c r="O434" s="412">
        <v>55.0</v>
      </c>
      <c r="P434" s="412">
        <v>4.0</v>
      </c>
    </row>
    <row r="435">
      <c r="A435" s="107" t="s">
        <v>1008</v>
      </c>
      <c r="B435" s="415" t="str">
        <f>HYPERLINK("https://uva.onlinejudge.org/index.php?option=onlinejudge&amp;page=show_problem&amp;problem=1400","UVA 10459")</f>
        <v>UVA 10459</v>
      </c>
      <c r="C435" s="185"/>
      <c r="D435" s="185"/>
      <c r="E435" s="185"/>
      <c r="F435" s="185"/>
      <c r="G435" s="185"/>
      <c r="H435" s="186"/>
      <c r="I435" s="81">
        <f t="shared" si="1"/>
        <v>0</v>
      </c>
      <c r="J435" s="86"/>
      <c r="K435" s="80"/>
      <c r="L435" s="185"/>
      <c r="M435" s="432" t="str">
        <f>HYPERLINK("https://github.com/VAMPIER000001/CompetitiveProgramming/blob/master/UVA/V-104/UVA%2010459.Cpp","Sol")</f>
        <v>Sol</v>
      </c>
      <c r="N435" s="412" t="s">
        <v>1465</v>
      </c>
      <c r="O435" s="412">
        <v>55.0</v>
      </c>
      <c r="P435" s="412">
        <v>4.5</v>
      </c>
      <c r="Q435" s="21" t="s">
        <v>1237</v>
      </c>
    </row>
    <row r="436">
      <c r="A436" s="107" t="s">
        <v>754</v>
      </c>
      <c r="B436" s="415" t="str">
        <f>HYPERLINK("http://codeforces.com/contest/430/problem/C","CF430-D2-C")</f>
        <v>CF430-D2-C</v>
      </c>
      <c r="C436" s="185"/>
      <c r="D436" s="185"/>
      <c r="E436" s="185"/>
      <c r="F436" s="185"/>
      <c r="G436" s="185"/>
      <c r="H436" s="186"/>
      <c r="I436" s="81">
        <f t="shared" si="1"/>
        <v>0</v>
      </c>
      <c r="J436" s="86"/>
      <c r="K436" s="80"/>
      <c r="L436" s="120"/>
      <c r="M436" s="257"/>
      <c r="N436" s="412" t="s">
        <v>1469</v>
      </c>
      <c r="O436" s="412">
        <v>55.0</v>
      </c>
      <c r="P436" s="412">
        <v>5.0</v>
      </c>
    </row>
    <row r="437">
      <c r="A437" s="107" t="s">
        <v>1135</v>
      </c>
      <c r="B437" s="415" t="str">
        <f>HYPERLINK("http://codeforces.com/contest/363/problem/D","CF363-D2-D")</f>
        <v>CF363-D2-D</v>
      </c>
      <c r="C437" s="185"/>
      <c r="D437" s="185"/>
      <c r="E437" s="185"/>
      <c r="F437" s="185"/>
      <c r="G437" s="185"/>
      <c r="H437" s="186"/>
      <c r="I437" s="81">
        <f t="shared" si="1"/>
        <v>0</v>
      </c>
      <c r="J437" s="86"/>
      <c r="K437" s="80"/>
      <c r="L437" s="434"/>
      <c r="M437" s="430"/>
      <c r="N437" s="412" t="s">
        <v>1470</v>
      </c>
      <c r="O437" s="412">
        <v>55.0</v>
      </c>
      <c r="P437" s="412">
        <v>5.0</v>
      </c>
    </row>
    <row r="438">
      <c r="A438" s="107" t="s">
        <v>1112</v>
      </c>
      <c r="B438" s="415" t="str">
        <f>HYPERLINK("http://codeforces.com/contest/550/problem/D","CF550-D2-D")</f>
        <v>CF550-D2-D</v>
      </c>
      <c r="C438" s="185"/>
      <c r="D438" s="185"/>
      <c r="E438" s="185"/>
      <c r="F438" s="185"/>
      <c r="G438" s="185"/>
      <c r="H438" s="186"/>
      <c r="I438" s="81">
        <f t="shared" si="1"/>
        <v>0</v>
      </c>
      <c r="J438" s="126"/>
      <c r="K438" s="125"/>
      <c r="L438" s="434"/>
      <c r="M438" s="430"/>
      <c r="N438" s="412" t="s">
        <v>1471</v>
      </c>
      <c r="O438" s="412">
        <v>55.0</v>
      </c>
      <c r="P438" s="412">
        <v>5.0</v>
      </c>
    </row>
    <row r="439">
      <c r="A439" s="107"/>
      <c r="B439" s="415" t="str">
        <f>HYPERLINK("http://codeforces.com/contest/486/problem/D","CF486-D2-D")</f>
        <v>CF486-D2-D</v>
      </c>
      <c r="C439" s="185"/>
      <c r="D439" s="185"/>
      <c r="E439" s="185"/>
      <c r="F439" s="185"/>
      <c r="G439" s="185"/>
      <c r="H439" s="186"/>
      <c r="I439" s="81">
        <f t="shared" si="1"/>
        <v>0</v>
      </c>
      <c r="J439" s="126"/>
      <c r="K439" s="125"/>
      <c r="L439" s="185"/>
      <c r="M439" s="424"/>
      <c r="N439" s="412" t="s">
        <v>1472</v>
      </c>
      <c r="O439" s="412">
        <v>55.0</v>
      </c>
      <c r="P439" s="412">
        <v>5.5</v>
      </c>
      <c r="Q439" s="21" t="s">
        <v>1240</v>
      </c>
    </row>
    <row r="440">
      <c r="A440" s="107" t="s">
        <v>949</v>
      </c>
      <c r="B440" s="415" t="str">
        <f>HYPERLINK("http://codeforces.com/contest/233/problem/C","CF233-D2-C")</f>
        <v>CF233-D2-C</v>
      </c>
      <c r="C440" s="185"/>
      <c r="D440" s="185"/>
      <c r="E440" s="185"/>
      <c r="F440" s="185"/>
      <c r="G440" s="185"/>
      <c r="H440" s="186"/>
      <c r="I440" s="81">
        <f t="shared" si="1"/>
        <v>0</v>
      </c>
      <c r="J440" s="126"/>
      <c r="K440" s="125"/>
      <c r="L440" s="185"/>
      <c r="M440" s="430"/>
      <c r="N440" s="412" t="s">
        <v>1473</v>
      </c>
      <c r="O440" s="412">
        <v>55.0</v>
      </c>
      <c r="P440" s="412">
        <v>5.5</v>
      </c>
      <c r="Q440" s="21" t="s">
        <v>1237</v>
      </c>
    </row>
    <row r="441">
      <c r="A441" s="107"/>
      <c r="B441" s="415" t="str">
        <f>HYPERLINK("http://codeforces.com/contest/459/problem/E","CF459-D2-E")</f>
        <v>CF459-D2-E</v>
      </c>
      <c r="C441" s="185"/>
      <c r="D441" s="185"/>
      <c r="E441" s="185"/>
      <c r="F441" s="185"/>
      <c r="G441" s="185"/>
      <c r="H441" s="186"/>
      <c r="I441" s="81">
        <f t="shared" si="1"/>
        <v>0</v>
      </c>
      <c r="J441" s="86"/>
      <c r="K441" s="80"/>
      <c r="L441" s="185"/>
      <c r="M441" s="435"/>
      <c r="N441" s="412" t="s">
        <v>1474</v>
      </c>
      <c r="O441" s="412">
        <v>55.0</v>
      </c>
      <c r="P441" s="412">
        <v>5.5</v>
      </c>
      <c r="Q441" s="21" t="s">
        <v>1237</v>
      </c>
    </row>
    <row r="442">
      <c r="A442" s="107"/>
      <c r="B442" s="415" t="str">
        <f>HYPERLINK("https://codeforces.com/contest/1060/problem/D","CF1060-D12-D")</f>
        <v>CF1060-D12-D</v>
      </c>
      <c r="C442" s="185"/>
      <c r="D442" s="185"/>
      <c r="E442" s="185"/>
      <c r="F442" s="185"/>
      <c r="G442" s="185"/>
      <c r="H442" s="186"/>
      <c r="I442" s="81">
        <f t="shared" si="1"/>
        <v>0</v>
      </c>
      <c r="J442" s="126"/>
      <c r="K442" s="125"/>
      <c r="L442" s="434"/>
      <c r="M442" s="435"/>
      <c r="N442" s="412" t="s">
        <v>1467</v>
      </c>
      <c r="O442" s="412">
        <v>55.0</v>
      </c>
      <c r="P442" s="412">
        <v>5.5</v>
      </c>
      <c r="Q442" s="21" t="s">
        <v>1237</v>
      </c>
    </row>
    <row r="443">
      <c r="A443" s="107"/>
      <c r="B443" s="107" t="s">
        <v>1196</v>
      </c>
      <c r="C443" s="185"/>
      <c r="D443" s="185"/>
      <c r="E443" s="185"/>
      <c r="F443" s="185"/>
      <c r="G443" s="185"/>
      <c r="H443" s="186"/>
      <c r="I443" s="81">
        <f t="shared" si="1"/>
        <v>0</v>
      </c>
      <c r="J443" s="126"/>
      <c r="K443" s="125"/>
      <c r="L443" s="434"/>
      <c r="M443" s="321" t="str">
        <f>HYPERLINK("https://github.com/jebouin/CompetitiveProgramming/blob/master/UVA/UVA%2010982.cpp","Sol")</f>
        <v>Sol</v>
      </c>
      <c r="N443" s="412" t="s">
        <v>1475</v>
      </c>
      <c r="O443" s="412">
        <v>55.0</v>
      </c>
      <c r="P443" s="412">
        <v>5.5</v>
      </c>
      <c r="Q443" s="21" t="s">
        <v>1237</v>
      </c>
    </row>
    <row r="444">
      <c r="A444" s="107"/>
      <c r="B444" s="415" t="str">
        <f>HYPERLINK("http://codeforces.com/contest/592/problem/D","CF592-D2-D")</f>
        <v>CF592-D2-D</v>
      </c>
      <c r="C444" s="185"/>
      <c r="D444" s="185"/>
      <c r="E444" s="185"/>
      <c r="F444" s="185"/>
      <c r="G444" s="185"/>
      <c r="H444" s="186"/>
      <c r="I444" s="81">
        <f t="shared" si="1"/>
        <v>0</v>
      </c>
      <c r="J444" s="120"/>
      <c r="K444" s="185"/>
      <c r="L444" s="185"/>
      <c r="M444" s="435"/>
      <c r="N444" s="412" t="s">
        <v>1465</v>
      </c>
      <c r="O444" s="412">
        <v>55.0</v>
      </c>
      <c r="P444" s="412">
        <v>5.5</v>
      </c>
      <c r="Q444" s="21" t="s">
        <v>1237</v>
      </c>
    </row>
    <row r="445">
      <c r="A445" s="107" t="s">
        <v>584</v>
      </c>
      <c r="B445" s="415" t="str">
        <f>HYPERLINK("http://www.spoj.com/problems/BITMAP/","SPOJ BITMAP")</f>
        <v>SPOJ BITMAP</v>
      </c>
      <c r="C445" s="185"/>
      <c r="D445" s="185"/>
      <c r="E445" s="185"/>
      <c r="F445" s="185"/>
      <c r="G445" s="185"/>
      <c r="H445" s="186"/>
      <c r="I445" s="81">
        <f t="shared" si="1"/>
        <v>0</v>
      </c>
      <c r="J445" s="126"/>
      <c r="K445" s="125"/>
      <c r="L445" s="185"/>
      <c r="M445" s="238" t="str">
        <f>HYPERLINK("https://github.com/omarkhair/Problems-Editorial/blob/master/SPOJ/Bitmap/Editorial.md","Editorial")</f>
        <v>Editorial</v>
      </c>
      <c r="N445" s="412" t="s">
        <v>1476</v>
      </c>
      <c r="O445" s="412">
        <v>57.0</v>
      </c>
      <c r="P445" s="412">
        <v>3.0</v>
      </c>
      <c r="Q445" s="21" t="s">
        <v>1237</v>
      </c>
    </row>
    <row r="446">
      <c r="A446" s="107" t="s">
        <v>830</v>
      </c>
      <c r="B446" s="415" t="str">
        <f>HYPERLINK("http://www.spoj.com/problems/POUR1/","SPOJ POUR1")</f>
        <v>SPOJ POUR1</v>
      </c>
      <c r="C446" s="185"/>
      <c r="D446" s="185"/>
      <c r="E446" s="185"/>
      <c r="F446" s="185"/>
      <c r="G446" s="185"/>
      <c r="H446" s="186"/>
      <c r="I446" s="81">
        <f t="shared" si="1"/>
        <v>0</v>
      </c>
      <c r="J446" s="126"/>
      <c r="K446" s="125"/>
      <c r="L446" s="185"/>
      <c r="M446" s="195" t="str">
        <f>HYPERLINK("https://www.youtube.com/watch?v=dMacXPeTyak&amp;feature=youtu.be","Video Solution - Eng Moaz Rashad")</f>
        <v>Video Solution - Eng Moaz Rashad</v>
      </c>
      <c r="N446" s="412" t="s">
        <v>1477</v>
      </c>
      <c r="O446" s="412">
        <v>57.0</v>
      </c>
      <c r="P446" s="412">
        <v>3.0</v>
      </c>
    </row>
    <row r="447">
      <c r="A447" s="107" t="s">
        <v>747</v>
      </c>
      <c r="B447" s="415" t="str">
        <f>HYPERLINK("https://uva.onlinejudge.org/index.php?option=com_onlinejudge&amp;Itemid=8&amp;page=show_problem&amp;problem=512","UVA 571")</f>
        <v>UVA 571</v>
      </c>
      <c r="C447" s="185"/>
      <c r="D447" s="185"/>
      <c r="E447" s="185"/>
      <c r="F447" s="185"/>
      <c r="G447" s="185"/>
      <c r="H447" s="186"/>
      <c r="I447" s="81">
        <f t="shared" si="1"/>
        <v>0</v>
      </c>
      <c r="J447" s="86"/>
      <c r="K447" s="80"/>
      <c r="L447" s="120"/>
      <c r="M447" s="437" t="str">
        <f>HYPERLINK("https://www.youtube.com/watch?v=y0J3Jznp3kE","Video Solution - Dr Mostafa Saad")</f>
        <v>Video Solution - Dr Mostafa Saad</v>
      </c>
      <c r="N447" s="412" t="s">
        <v>1477</v>
      </c>
      <c r="O447" s="412">
        <v>57.0</v>
      </c>
      <c r="P447" s="412">
        <v>4.0</v>
      </c>
      <c r="Q447" s="21" t="s">
        <v>1231</v>
      </c>
    </row>
    <row r="448">
      <c r="A448" s="107" t="s">
        <v>417</v>
      </c>
      <c r="B448" s="415" t="str">
        <f>HYPERLINK("http://www.spoj.com/problems/TOE1/","SPOJ TOE1")</f>
        <v>SPOJ TOE1</v>
      </c>
      <c r="C448" s="185"/>
      <c r="D448" s="185"/>
      <c r="E448" s="185"/>
      <c r="F448" s="185"/>
      <c r="G448" s="185"/>
      <c r="H448" s="186"/>
      <c r="I448" s="81">
        <f t="shared" si="1"/>
        <v>0</v>
      </c>
      <c r="J448" s="86"/>
      <c r="K448" s="80"/>
      <c r="L448" s="185"/>
      <c r="M448" s="418" t="str">
        <f>HYPERLINK("https://www.youtube.com/watch?v=VM2c3csK3Ps","Video Solution - Eng Ayman Salah")</f>
        <v>Video Solution - Eng Ayman Salah</v>
      </c>
      <c r="N448" s="412" t="s">
        <v>1477</v>
      </c>
      <c r="O448" s="412">
        <v>57.0</v>
      </c>
      <c r="P448" s="412">
        <v>4.0</v>
      </c>
    </row>
    <row r="449">
      <c r="A449" s="107" t="s">
        <v>418</v>
      </c>
      <c r="B449" s="415" t="str">
        <f>HYPERLINK("http://www.spoj.com/problems/TOE2/","SPOJ TOE2")</f>
        <v>SPOJ TOE2</v>
      </c>
      <c r="C449" s="185"/>
      <c r="D449" s="185"/>
      <c r="E449" s="185"/>
      <c r="F449" s="185"/>
      <c r="G449" s="185"/>
      <c r="H449" s="186"/>
      <c r="I449" s="81">
        <f t="shared" si="1"/>
        <v>0</v>
      </c>
      <c r="J449" s="86"/>
      <c r="K449" s="80"/>
      <c r="L449" s="185"/>
      <c r="M449" s="418" t="str">
        <f>HYPERLINK("https://www.youtube.com/watch?v=LleR_xaCfMY&amp;feature=youtu.be","Video Solution - Eng Essam AlNaggar")</f>
        <v>Video Solution - Eng Essam AlNaggar</v>
      </c>
      <c r="N449" s="412" t="s">
        <v>1477</v>
      </c>
      <c r="O449" s="412">
        <v>57.0</v>
      </c>
      <c r="P449" s="412">
        <v>4.0</v>
      </c>
    </row>
    <row r="450">
      <c r="A450" s="107" t="s">
        <v>419</v>
      </c>
      <c r="B450" s="415" t="str">
        <f>HYPERLINK("https://uva.onlinejudge.org/index.php?option=com_onlinejudge&amp;Itemid=8&amp;page=show_problem&amp;problem=380","UVA 439")</f>
        <v>UVA 439</v>
      </c>
      <c r="C450" s="185"/>
      <c r="D450" s="185"/>
      <c r="E450" s="185"/>
      <c r="F450" s="185"/>
      <c r="G450" s="185"/>
      <c r="H450" s="186"/>
      <c r="I450" s="81">
        <f t="shared" si="1"/>
        <v>0</v>
      </c>
      <c r="J450" s="86"/>
      <c r="K450" s="80"/>
      <c r="L450" s="185"/>
      <c r="M450" s="418" t="str">
        <f>HYPERLINK("https://www.youtube.com/watch?v=_S7BCbISrdo&amp;feature=youtu.be","Video Solution - Eng Magdy Hasan")</f>
        <v>Video Solution - Eng Magdy Hasan</v>
      </c>
      <c r="N450" s="412" t="s">
        <v>1478</v>
      </c>
      <c r="O450" s="412">
        <v>57.0</v>
      </c>
      <c r="P450" s="412">
        <v>4.0</v>
      </c>
    </row>
    <row r="451">
      <c r="A451" s="107" t="s">
        <v>420</v>
      </c>
      <c r="B451" s="415" t="str">
        <f>HYPERLINK("http://codeforces.com/contest/242/problem/C","CF242-D2-C")</f>
        <v>CF242-D2-C</v>
      </c>
      <c r="C451" s="185"/>
      <c r="D451" s="185"/>
      <c r="E451" s="185"/>
      <c r="F451" s="185"/>
      <c r="G451" s="185"/>
      <c r="H451" s="186"/>
      <c r="I451" s="81">
        <f t="shared" si="1"/>
        <v>0</v>
      </c>
      <c r="J451" s="86"/>
      <c r="K451" s="80"/>
      <c r="L451" s="185"/>
      <c r="M451" s="418" t="str">
        <f>HYPERLINK("https://www.youtube.com/watch?v=KmxeOFQ_4Rw","Video Solution - Dr Mostafa Saad")</f>
        <v>Video Solution - Dr Mostafa Saad</v>
      </c>
      <c r="N451" s="412" t="s">
        <v>1477</v>
      </c>
      <c r="O451" s="412">
        <v>57.0</v>
      </c>
      <c r="P451" s="412">
        <v>4.5</v>
      </c>
      <c r="Q451" s="21"/>
    </row>
    <row r="452">
      <c r="A452" s="107" t="s">
        <v>1100</v>
      </c>
      <c r="B452" s="415" t="str">
        <f>HYPERLINK("http://codeforces.com/contest/676/problem/D","CF676-D2-D")</f>
        <v>CF676-D2-D</v>
      </c>
      <c r="C452" s="185"/>
      <c r="D452" s="185"/>
      <c r="E452" s="185"/>
      <c r="F452" s="185"/>
      <c r="G452" s="185"/>
      <c r="H452" s="186"/>
      <c r="I452" s="81">
        <f t="shared" si="1"/>
        <v>0</v>
      </c>
      <c r="J452" s="126"/>
      <c r="K452" s="125"/>
      <c r="L452" s="185"/>
      <c r="M452" s="435"/>
      <c r="N452" s="412" t="s">
        <v>1479</v>
      </c>
      <c r="O452" s="412">
        <v>57.0</v>
      </c>
      <c r="P452" s="412">
        <v>4.5</v>
      </c>
      <c r="Q452" s="21" t="s">
        <v>1235</v>
      </c>
    </row>
    <row r="453">
      <c r="A453" s="107" t="s">
        <v>598</v>
      </c>
      <c r="B453" s="415" t="str">
        <f>HYPERLINK("http://www.spoj.com/problems/QUEEN/","SPOJ QUEEN")</f>
        <v>SPOJ QUEEN</v>
      </c>
      <c r="C453" s="185"/>
      <c r="D453" s="185"/>
      <c r="E453" s="185"/>
      <c r="F453" s="185"/>
      <c r="G453" s="185"/>
      <c r="H453" s="186"/>
      <c r="I453" s="81">
        <f t="shared" si="1"/>
        <v>0</v>
      </c>
      <c r="J453" s="126"/>
      <c r="K453" s="125"/>
      <c r="L453" s="185"/>
      <c r="M453" s="219" t="str">
        <f>HYPERLINK("https://github.com/magdy-hasan/competitive-programming/blob/master/SPOJ/SPOJ%20QUEEN%20-%20Wandering%20Queen.cpp","Sol to read")</f>
        <v>Sol to read</v>
      </c>
      <c r="N453" s="412" t="s">
        <v>1477</v>
      </c>
      <c r="O453" s="412">
        <v>57.0</v>
      </c>
      <c r="P453" s="412">
        <v>4.5</v>
      </c>
      <c r="Q453" s="21" t="s">
        <v>1231</v>
      </c>
    </row>
    <row r="454">
      <c r="A454" s="107" t="s">
        <v>881</v>
      </c>
      <c r="B454" s="415" t="str">
        <f>HYPERLINK("http://codeforces.com/contest/404/problem/C","CF404-D2-C")</f>
        <v>CF404-D2-C</v>
      </c>
      <c r="C454" s="185"/>
      <c r="D454" s="185"/>
      <c r="E454" s="185"/>
      <c r="F454" s="185"/>
      <c r="G454" s="185"/>
      <c r="H454" s="186"/>
      <c r="I454" s="81">
        <f t="shared" si="1"/>
        <v>0</v>
      </c>
      <c r="J454" s="126"/>
      <c r="K454" s="125"/>
      <c r="L454" s="185"/>
      <c r="M454" s="107"/>
      <c r="N454" s="412" t="s">
        <v>1477</v>
      </c>
      <c r="O454" s="412">
        <v>57.0</v>
      </c>
      <c r="P454" s="412">
        <v>4.5</v>
      </c>
    </row>
    <row r="455">
      <c r="A455" s="107" t="s">
        <v>694</v>
      </c>
      <c r="B455" s="415" t="str">
        <f>HYPERLINK("http://www.spoj.com/problems/CERC07K/","SPOJ CERC07K")</f>
        <v>SPOJ CERC07K</v>
      </c>
      <c r="C455" s="185"/>
      <c r="D455" s="185"/>
      <c r="E455" s="185"/>
      <c r="F455" s="185"/>
      <c r="G455" s="185"/>
      <c r="H455" s="186"/>
      <c r="I455" s="81">
        <f t="shared" si="1"/>
        <v>0</v>
      </c>
      <c r="J455" s="126"/>
      <c r="K455" s="125"/>
      <c r="L455" s="185"/>
      <c r="M455" s="428"/>
      <c r="N455" s="412" t="s">
        <v>1480</v>
      </c>
      <c r="O455" s="412">
        <v>57.0</v>
      </c>
      <c r="P455" s="412">
        <v>4.5</v>
      </c>
    </row>
    <row r="456">
      <c r="A456" s="107" t="s">
        <v>695</v>
      </c>
      <c r="B456" s="415" t="str">
        <f>HYPERLINK("http://www.spoj.com/problems/CLEANRBT/","SPOJ CLEANRBT")</f>
        <v>SPOJ CLEANRBT</v>
      </c>
      <c r="C456" s="185"/>
      <c r="D456" s="185"/>
      <c r="E456" s="185"/>
      <c r="F456" s="185"/>
      <c r="G456" s="185"/>
      <c r="H456" s="186"/>
      <c r="I456" s="81">
        <f t="shared" si="1"/>
        <v>0</v>
      </c>
      <c r="J456" s="126"/>
      <c r="K456" s="125"/>
      <c r="L456" s="185"/>
      <c r="M456" s="431"/>
      <c r="N456" s="412" t="s">
        <v>1481</v>
      </c>
      <c r="O456" s="412">
        <v>57.0</v>
      </c>
      <c r="P456" s="412">
        <v>4.5</v>
      </c>
    </row>
    <row r="457">
      <c r="A457" s="107"/>
      <c r="B457" s="107" t="s">
        <v>1017</v>
      </c>
      <c r="C457" s="185"/>
      <c r="D457" s="185"/>
      <c r="E457" s="185"/>
      <c r="F457" s="185"/>
      <c r="G457" s="185"/>
      <c r="H457" s="186"/>
      <c r="I457" s="81">
        <f t="shared" si="1"/>
        <v>0</v>
      </c>
      <c r="J457" s="86"/>
      <c r="K457" s="80"/>
      <c r="L457" s="185"/>
      <c r="M457" s="435"/>
      <c r="N457" s="412" t="s">
        <v>1482</v>
      </c>
      <c r="O457" s="412">
        <v>57.0</v>
      </c>
      <c r="P457" s="412">
        <v>5.0</v>
      </c>
      <c r="Q457" s="21" t="s">
        <v>1237</v>
      </c>
    </row>
    <row r="458">
      <c r="A458" s="107" t="s">
        <v>659</v>
      </c>
      <c r="B458" s="415" t="str">
        <f>HYPERLINK("http://codeforces.com/contest/253/problem/C","CF253-D2-C")</f>
        <v>CF253-D2-C</v>
      </c>
      <c r="C458" s="185"/>
      <c r="D458" s="185"/>
      <c r="E458" s="185"/>
      <c r="F458" s="185"/>
      <c r="G458" s="185"/>
      <c r="H458" s="186"/>
      <c r="I458" s="81">
        <f t="shared" si="1"/>
        <v>0</v>
      </c>
      <c r="J458" s="86"/>
      <c r="K458" s="80"/>
      <c r="L458" s="185"/>
      <c r="M458" s="257"/>
      <c r="N458" s="412" t="s">
        <v>1483</v>
      </c>
      <c r="O458" s="412">
        <v>57.0</v>
      </c>
      <c r="P458" s="412">
        <v>5.0</v>
      </c>
      <c r="Q458" s="21" t="s">
        <v>1235</v>
      </c>
    </row>
    <row r="459">
      <c r="A459" s="107" t="s">
        <v>1173</v>
      </c>
      <c r="B459" s="415" t="str">
        <f>HYPERLINK("http://www.spoj.com/problems/ANARC08A/","SPOJ ANARC08A")</f>
        <v>SPOJ ANARC08A</v>
      </c>
      <c r="C459" s="185"/>
      <c r="D459" s="185"/>
      <c r="E459" s="185"/>
      <c r="F459" s="185"/>
      <c r="G459" s="185"/>
      <c r="H459" s="186"/>
      <c r="I459" s="81">
        <f t="shared" si="1"/>
        <v>0</v>
      </c>
      <c r="J459" s="126"/>
      <c r="K459" s="125"/>
      <c r="L459" s="434"/>
      <c r="M459" s="321" t="str">
        <f>HYPERLINK("https://github.com/mostafa-saad/MyCompetitiveProgramming/blob/master/SPOJ/SPOJ_ANARC08A.txt","Sol")</f>
        <v>Sol</v>
      </c>
      <c r="N459" s="412" t="s">
        <v>1484</v>
      </c>
      <c r="O459" s="412">
        <v>57.0</v>
      </c>
      <c r="P459" s="412">
        <v>5.0</v>
      </c>
    </row>
    <row r="460">
      <c r="A460" s="107"/>
      <c r="B460" s="415" t="str">
        <f>HYPERLINK("http://codeforces.com/contest/1005/problem/F","CF1005-D3-F")</f>
        <v>CF1005-D3-F</v>
      </c>
      <c r="C460" s="185"/>
      <c r="D460" s="185"/>
      <c r="E460" s="185"/>
      <c r="F460" s="185"/>
      <c r="G460" s="185"/>
      <c r="H460" s="186"/>
      <c r="I460" s="81">
        <f t="shared" si="1"/>
        <v>0</v>
      </c>
      <c r="J460" s="126"/>
      <c r="K460" s="125"/>
      <c r="L460" s="185"/>
      <c r="M460" s="430"/>
      <c r="N460" s="412" t="s">
        <v>1477</v>
      </c>
      <c r="O460" s="412">
        <v>57.0</v>
      </c>
      <c r="P460" s="412">
        <v>5.25</v>
      </c>
      <c r="Q460" s="21" t="s">
        <v>1235</v>
      </c>
    </row>
    <row r="461">
      <c r="A461" s="107"/>
      <c r="B461" s="107" t="s">
        <v>1485</v>
      </c>
      <c r="C461" s="185"/>
      <c r="D461" s="185"/>
      <c r="E461" s="185"/>
      <c r="F461" s="185"/>
      <c r="G461" s="185"/>
      <c r="H461" s="186"/>
      <c r="I461" s="81">
        <f t="shared" si="1"/>
        <v>0</v>
      </c>
      <c r="J461" s="86"/>
      <c r="K461" s="80"/>
      <c r="L461" s="185"/>
      <c r="M461" s="428"/>
      <c r="N461" s="412" t="s">
        <v>1486</v>
      </c>
      <c r="O461" s="412">
        <v>57.0</v>
      </c>
      <c r="P461" s="412">
        <v>5.5</v>
      </c>
      <c r="Q461" s="21" t="s">
        <v>1235</v>
      </c>
    </row>
    <row r="462">
      <c r="A462" s="107"/>
      <c r="B462" s="107" t="s">
        <v>679</v>
      </c>
      <c r="C462" s="185"/>
      <c r="D462" s="185"/>
      <c r="E462" s="185"/>
      <c r="F462" s="185"/>
      <c r="G462" s="185"/>
      <c r="H462" s="186"/>
      <c r="I462" s="81">
        <f t="shared" si="1"/>
        <v>0</v>
      </c>
      <c r="J462" s="86"/>
      <c r="K462" s="80"/>
      <c r="L462" s="185"/>
      <c r="M462" s="446" t="str">
        <f>HYPERLINK("https://www.geeksforgeeks.org/0-1-bfs-shortest-path-binary-graph/","Learn 0/1 BFS")</f>
        <v>Learn 0/1 BFS</v>
      </c>
      <c r="N462" s="412" t="s">
        <v>1487</v>
      </c>
      <c r="O462" s="412">
        <v>57.0</v>
      </c>
      <c r="P462" s="412">
        <v>5.5</v>
      </c>
      <c r="Q462" s="21" t="s">
        <v>1235</v>
      </c>
    </row>
    <row r="463">
      <c r="A463" s="107"/>
      <c r="B463" s="415" t="str">
        <f>HYPERLINK("http://codeforces.com/contest/787/problem/C","CF787-D2-C")</f>
        <v>CF787-D2-C</v>
      </c>
      <c r="C463" s="185"/>
      <c r="D463" s="185"/>
      <c r="E463" s="185"/>
      <c r="F463" s="185"/>
      <c r="G463" s="185"/>
      <c r="H463" s="186"/>
      <c r="I463" s="81">
        <f t="shared" si="1"/>
        <v>0</v>
      </c>
      <c r="J463" s="86"/>
      <c r="K463" s="80"/>
      <c r="L463" s="434"/>
      <c r="M463" s="435"/>
      <c r="N463" s="412" t="s">
        <v>1488</v>
      </c>
      <c r="O463" s="412">
        <v>57.0</v>
      </c>
      <c r="P463" s="412">
        <v>5.5</v>
      </c>
      <c r="Q463" s="21" t="s">
        <v>1231</v>
      </c>
    </row>
    <row r="464">
      <c r="A464" s="107"/>
      <c r="B464" s="415" t="str">
        <f>HYPERLINK("http://codeforces.com/contest/811/problem/D","CF811-D2-D")</f>
        <v>CF811-D2-D</v>
      </c>
      <c r="C464" s="185"/>
      <c r="D464" s="185"/>
      <c r="E464" s="185"/>
      <c r="F464" s="185"/>
      <c r="G464" s="185"/>
      <c r="H464" s="186"/>
      <c r="I464" s="81">
        <f t="shared" si="1"/>
        <v>0</v>
      </c>
      <c r="J464" s="120"/>
      <c r="K464" s="185"/>
      <c r="L464" s="434"/>
      <c r="M464" s="435"/>
      <c r="N464" s="412" t="s">
        <v>1489</v>
      </c>
      <c r="O464" s="412">
        <v>57.0</v>
      </c>
      <c r="P464" s="412">
        <v>6.0</v>
      </c>
      <c r="Q464" s="21" t="s">
        <v>1235</v>
      </c>
    </row>
    <row r="465">
      <c r="A465" s="107"/>
      <c r="B465" s="107" t="s">
        <v>423</v>
      </c>
      <c r="C465" s="185"/>
      <c r="D465" s="185"/>
      <c r="E465" s="185"/>
      <c r="F465" s="185"/>
      <c r="G465" s="185"/>
      <c r="H465" s="186"/>
      <c r="I465" s="81">
        <f t="shared" si="1"/>
        <v>0</v>
      </c>
      <c r="J465" s="86"/>
      <c r="K465" s="80"/>
      <c r="L465" s="185"/>
      <c r="M465" s="433"/>
      <c r="N465" s="412" t="s">
        <v>1490</v>
      </c>
      <c r="O465" s="412">
        <v>60.0</v>
      </c>
      <c r="P465" s="412">
        <v>3.0</v>
      </c>
      <c r="Q465" s="21" t="s">
        <v>1231</v>
      </c>
    </row>
    <row r="466">
      <c r="A466" s="107" t="s">
        <v>963</v>
      </c>
      <c r="B466" s="415" t="str">
        <f>HYPERLINK("http://codeforces.com/contest/25/problem/C","CF25-D2-C")</f>
        <v>CF25-D2-C</v>
      </c>
      <c r="C466" s="185"/>
      <c r="D466" s="185"/>
      <c r="E466" s="185"/>
      <c r="F466" s="185"/>
      <c r="G466" s="185"/>
      <c r="H466" s="186"/>
      <c r="I466" s="81">
        <f t="shared" si="1"/>
        <v>0</v>
      </c>
      <c r="J466" s="126"/>
      <c r="K466" s="125"/>
      <c r="L466" s="185"/>
      <c r="M466" s="430"/>
      <c r="N466" s="412" t="s">
        <v>1491</v>
      </c>
      <c r="O466" s="412">
        <v>60.0</v>
      </c>
      <c r="P466" s="412">
        <v>4.0</v>
      </c>
      <c r="Q466" s="21" t="s">
        <v>1235</v>
      </c>
    </row>
    <row r="467">
      <c r="A467" s="107" t="s">
        <v>947</v>
      </c>
      <c r="B467" s="415" t="str">
        <f>HYPERLINK("http://codeforces.com/contest/116/problem/C","CF116-D2-C")</f>
        <v>CF116-D2-C</v>
      </c>
      <c r="C467" s="185"/>
      <c r="D467" s="185"/>
      <c r="E467" s="185"/>
      <c r="F467" s="185"/>
      <c r="G467" s="185"/>
      <c r="H467" s="186"/>
      <c r="I467" s="81">
        <f t="shared" si="1"/>
        <v>0</v>
      </c>
      <c r="J467" s="126"/>
      <c r="K467" s="125"/>
      <c r="L467" s="185"/>
      <c r="M467" s="430"/>
      <c r="N467" s="412" t="s">
        <v>1491</v>
      </c>
      <c r="O467" s="412">
        <v>60.0</v>
      </c>
      <c r="P467" s="412">
        <v>4.0</v>
      </c>
      <c r="Q467" s="21" t="s">
        <v>1231</v>
      </c>
    </row>
    <row r="468">
      <c r="A468" s="107" t="s">
        <v>229</v>
      </c>
      <c r="B468" s="415" t="str">
        <f>HYPERLINK("http://codeforces.com/contest/216/problem/B","CF216-D2-B")</f>
        <v>CF216-D2-B</v>
      </c>
      <c r="C468" s="185"/>
      <c r="D468" s="185"/>
      <c r="E468" s="185"/>
      <c r="F468" s="185"/>
      <c r="G468" s="185"/>
      <c r="H468" s="186"/>
      <c r="I468" s="81">
        <f t="shared" si="1"/>
        <v>0</v>
      </c>
      <c r="J468" s="120"/>
      <c r="K468" s="80"/>
      <c r="L468" s="120"/>
      <c r="M468" s="424" t="str">
        <f>HYPERLINK("https://www.youtube.com/watch?v=O4rahDYs9-c","Video Solution - Dr Mostafa Saad")</f>
        <v>Video Solution - Dr Mostafa Saad</v>
      </c>
      <c r="N468" s="412" t="s">
        <v>1491</v>
      </c>
      <c r="O468" s="412">
        <v>60.0</v>
      </c>
      <c r="P468" s="412">
        <v>4.0</v>
      </c>
    </row>
    <row r="469">
      <c r="A469" s="107" t="s">
        <v>959</v>
      </c>
      <c r="B469" s="415" t="str">
        <f>HYPERLINK("http://codeforces.com/contest/327/problem/D","CF327-D2-D")</f>
        <v>CF327-D2-D</v>
      </c>
      <c r="C469" s="185"/>
      <c r="D469" s="185"/>
      <c r="E469" s="185"/>
      <c r="F469" s="185"/>
      <c r="G469" s="185"/>
      <c r="H469" s="186"/>
      <c r="I469" s="81">
        <f t="shared" si="1"/>
        <v>0</v>
      </c>
      <c r="J469" s="86"/>
      <c r="K469" s="80"/>
      <c r="L469" s="185"/>
      <c r="M469" s="107"/>
      <c r="N469" s="412" t="s">
        <v>1491</v>
      </c>
      <c r="O469" s="412">
        <v>60.0</v>
      </c>
      <c r="P469" s="412">
        <v>4.0</v>
      </c>
    </row>
    <row r="470">
      <c r="A470" s="107" t="s">
        <v>575</v>
      </c>
      <c r="B470" s="415" t="str">
        <f>HYPERLINK("http://codeforces.com/contest/546/problem/C","CF546-D2-C")</f>
        <v>CF546-D2-C</v>
      </c>
      <c r="C470" s="185"/>
      <c r="D470" s="185"/>
      <c r="E470" s="185"/>
      <c r="F470" s="185"/>
      <c r="G470" s="185"/>
      <c r="H470" s="186"/>
      <c r="I470" s="81">
        <f t="shared" si="1"/>
        <v>0</v>
      </c>
      <c r="J470" s="126"/>
      <c r="K470" s="125"/>
      <c r="L470" s="185"/>
      <c r="M470" s="430"/>
      <c r="N470" s="412" t="s">
        <v>1491</v>
      </c>
      <c r="O470" s="412">
        <v>60.0</v>
      </c>
      <c r="P470" s="412">
        <v>4.0</v>
      </c>
    </row>
    <row r="471">
      <c r="A471" s="107" t="s">
        <v>603</v>
      </c>
      <c r="B471" s="415" t="str">
        <f>HYPERLINK("http://codeforces.com/contest/580/problem/C","CF580-D2-C")</f>
        <v>CF580-D2-C</v>
      </c>
      <c r="C471" s="185"/>
      <c r="D471" s="185"/>
      <c r="E471" s="185"/>
      <c r="F471" s="185"/>
      <c r="G471" s="185"/>
      <c r="H471" s="186"/>
      <c r="I471" s="81">
        <f t="shared" si="1"/>
        <v>0</v>
      </c>
      <c r="J471" s="86"/>
      <c r="K471" s="80"/>
      <c r="L471" s="185"/>
      <c r="M471" s="418" t="str">
        <f>HYPERLINK("https://www.youtube.com/watch?v=ebC3c-YJDIk","Video Solution - Solver to be (Java)")</f>
        <v>Video Solution - Solver to be (Java)</v>
      </c>
      <c r="N471" s="412" t="s">
        <v>1491</v>
      </c>
      <c r="O471" s="412">
        <v>60.0</v>
      </c>
      <c r="P471" s="412">
        <v>4.0</v>
      </c>
      <c r="Q471" s="21" t="s">
        <v>1235</v>
      </c>
    </row>
    <row r="472">
      <c r="A472" s="107" t="s">
        <v>642</v>
      </c>
      <c r="B472" s="415" t="str">
        <f>HYPERLINK("http://codeforces.com/contest/378/problem/C","CF378-D2-C")</f>
        <v>CF378-D2-C</v>
      </c>
      <c r="C472" s="185"/>
      <c r="D472" s="185"/>
      <c r="E472" s="185"/>
      <c r="F472" s="185"/>
      <c r="G472" s="185"/>
      <c r="H472" s="186"/>
      <c r="I472" s="81">
        <f t="shared" si="1"/>
        <v>0</v>
      </c>
      <c r="J472" s="86"/>
      <c r="K472" s="80"/>
      <c r="L472" s="185"/>
      <c r="M472" s="257"/>
      <c r="N472" s="412" t="s">
        <v>1492</v>
      </c>
      <c r="O472" s="412">
        <v>60.0</v>
      </c>
      <c r="P472" s="412">
        <v>4.5</v>
      </c>
      <c r="Q472" s="21" t="s">
        <v>1231</v>
      </c>
    </row>
    <row r="473">
      <c r="A473" s="107" t="s">
        <v>971</v>
      </c>
      <c r="B473" s="415" t="str">
        <f>HYPERLINK("https://uva.onlinejudge.org/index.php?option=onlinejudge&amp;page=show_problem&amp;problem=1054","UVA 10113")</f>
        <v>UVA 10113</v>
      </c>
      <c r="C473" s="185"/>
      <c r="D473" s="185"/>
      <c r="E473" s="185"/>
      <c r="F473" s="185"/>
      <c r="G473" s="185"/>
      <c r="H473" s="186"/>
      <c r="I473" s="81">
        <f t="shared" si="1"/>
        <v>0</v>
      </c>
      <c r="J473" s="126"/>
      <c r="K473" s="125"/>
      <c r="L473" s="185"/>
      <c r="M473" s="430"/>
      <c r="N473" s="412" t="s">
        <v>1493</v>
      </c>
      <c r="O473" s="412">
        <v>60.0</v>
      </c>
      <c r="P473" s="412">
        <v>4.5</v>
      </c>
      <c r="Q473" s="21" t="s">
        <v>1231</v>
      </c>
    </row>
    <row r="474">
      <c r="A474" s="107" t="s">
        <v>1042</v>
      </c>
      <c r="B474" s="415" t="str">
        <f>HYPERLINK("http://codeforces.com/contest/540/problem/C","CF540-D2-C")</f>
        <v>CF540-D2-C</v>
      </c>
      <c r="C474" s="185"/>
      <c r="D474" s="185"/>
      <c r="E474" s="185"/>
      <c r="F474" s="185"/>
      <c r="G474" s="185"/>
      <c r="H474" s="186"/>
      <c r="I474" s="81">
        <f t="shared" si="1"/>
        <v>0</v>
      </c>
      <c r="J474" s="126"/>
      <c r="K474" s="125"/>
      <c r="L474" s="185"/>
      <c r="M474" s="430"/>
      <c r="N474" s="412" t="s">
        <v>1491</v>
      </c>
      <c r="O474" s="412">
        <v>60.0</v>
      </c>
      <c r="P474" s="412">
        <v>4.5</v>
      </c>
    </row>
    <row r="475">
      <c r="A475" s="107" t="s">
        <v>751</v>
      </c>
      <c r="B475" s="415" t="str">
        <f>HYPERLINK("https://uva.onlinejudge.org/index.php?option=onlinejudge&amp;page=show_problem&amp;problem=813","UVA 872")</f>
        <v>UVA 872</v>
      </c>
      <c r="C475" s="185"/>
      <c r="D475" s="185"/>
      <c r="E475" s="185"/>
      <c r="F475" s="185"/>
      <c r="G475" s="185"/>
      <c r="H475" s="186"/>
      <c r="I475" s="81">
        <f t="shared" si="1"/>
        <v>0</v>
      </c>
      <c r="J475" s="126"/>
      <c r="K475" s="125"/>
      <c r="L475" s="120"/>
      <c r="M475" s="259" t="s">
        <v>625</v>
      </c>
      <c r="N475" s="412" t="s">
        <v>1491</v>
      </c>
      <c r="O475" s="412">
        <v>60.0</v>
      </c>
      <c r="P475" s="412">
        <v>4.5</v>
      </c>
    </row>
    <row r="476">
      <c r="A476" s="107" t="s">
        <v>958</v>
      </c>
      <c r="B476" s="415" t="str">
        <f>HYPERLINK("http://codeforces.com/contest/711/problem/D","CF711-D2-D")</f>
        <v>CF711-D2-D</v>
      </c>
      <c r="C476" s="185"/>
      <c r="D476" s="185"/>
      <c r="E476" s="185"/>
      <c r="F476" s="185"/>
      <c r="G476" s="185"/>
      <c r="H476" s="186"/>
      <c r="I476" s="81">
        <f t="shared" si="1"/>
        <v>0</v>
      </c>
      <c r="J476" s="86"/>
      <c r="K476" s="80"/>
      <c r="L476" s="185"/>
      <c r="M476" s="107"/>
      <c r="N476" s="412" t="s">
        <v>1494</v>
      </c>
      <c r="O476" s="412">
        <v>60.0</v>
      </c>
      <c r="P476" s="412">
        <v>5.0</v>
      </c>
      <c r="Q476" s="21" t="s">
        <v>1237</v>
      </c>
    </row>
    <row r="477">
      <c r="A477" s="107"/>
      <c r="B477" s="107" t="s">
        <v>928</v>
      </c>
      <c r="C477" s="185"/>
      <c r="D477" s="185"/>
      <c r="E477" s="185"/>
      <c r="F477" s="185"/>
      <c r="G477" s="185"/>
      <c r="H477" s="186"/>
      <c r="I477" s="81">
        <f t="shared" si="1"/>
        <v>0</v>
      </c>
      <c r="J477" s="126"/>
      <c r="K477" s="125"/>
      <c r="L477" s="185"/>
      <c r="M477" s="429" t="str">
        <f>HYPERLINK("https://github.com/MNT95/Competitive-Programming/blob/master/SPOJ/BIA.cpp?fbclid=IwAR1xR9CTVVj2L_Hr-1m5uIqAFHRc8Bh78z11v46sPyVjHwHeE3MvPrcMbn8","Sol")</f>
        <v>Sol</v>
      </c>
      <c r="N477" s="412" t="s">
        <v>1495</v>
      </c>
      <c r="O477" s="412">
        <v>60.0</v>
      </c>
      <c r="P477" s="412">
        <v>5.0</v>
      </c>
      <c r="Q477" s="21" t="s">
        <v>1235</v>
      </c>
    </row>
    <row r="478">
      <c r="A478" s="107" t="s">
        <v>1053</v>
      </c>
      <c r="B478" s="415" t="str">
        <f>HYPERLINK("http://codeforces.com/contest/219/problem/D","CF219-D2-D")</f>
        <v>CF219-D2-D</v>
      </c>
      <c r="C478" s="185"/>
      <c r="D478" s="185"/>
      <c r="E478" s="185"/>
      <c r="F478" s="185"/>
      <c r="G478" s="185"/>
      <c r="H478" s="186"/>
      <c r="I478" s="81">
        <f t="shared" si="1"/>
        <v>0</v>
      </c>
      <c r="J478" s="120"/>
      <c r="K478" s="185"/>
      <c r="L478" s="434"/>
      <c r="M478" s="428"/>
      <c r="N478" s="412" t="s">
        <v>1496</v>
      </c>
      <c r="O478" s="412">
        <v>60.0</v>
      </c>
      <c r="P478" s="412">
        <v>5.0</v>
      </c>
    </row>
    <row r="479">
      <c r="A479" s="107"/>
      <c r="B479" s="415" t="str">
        <f>HYPERLINK("http://codeforces.com/contest/1075/problem/D","CF1075-D2-D")</f>
        <v>CF1075-D2-D</v>
      </c>
      <c r="C479" s="185"/>
      <c r="D479" s="185"/>
      <c r="E479" s="185"/>
      <c r="F479" s="185"/>
      <c r="G479" s="185"/>
      <c r="H479" s="186"/>
      <c r="I479" s="81">
        <f t="shared" si="1"/>
        <v>0</v>
      </c>
      <c r="J479" s="126"/>
      <c r="K479" s="125"/>
      <c r="L479" s="185"/>
      <c r="M479" s="430"/>
      <c r="N479" s="412" t="s">
        <v>1497</v>
      </c>
      <c r="O479" s="412">
        <v>60.0</v>
      </c>
      <c r="P479" s="412">
        <v>5.5</v>
      </c>
      <c r="Q479" s="21" t="s">
        <v>1237</v>
      </c>
    </row>
    <row r="480">
      <c r="A480" s="107" t="s">
        <v>1214</v>
      </c>
      <c r="B480" s="415" t="str">
        <f>HYPERLINK("http://codeforces.com/contest/197/problem/D","CF197-D2-D")</f>
        <v>CF197-D2-D</v>
      </c>
      <c r="C480" s="185"/>
      <c r="D480" s="185"/>
      <c r="E480" s="185"/>
      <c r="F480" s="185"/>
      <c r="G480" s="185"/>
      <c r="H480" s="186"/>
      <c r="I480" s="81">
        <f t="shared" si="1"/>
        <v>0</v>
      </c>
      <c r="J480" s="86"/>
      <c r="K480" s="80"/>
      <c r="L480" s="185"/>
      <c r="M480" s="107"/>
      <c r="N480" s="412" t="s">
        <v>1491</v>
      </c>
      <c r="O480" s="412">
        <v>60.0</v>
      </c>
      <c r="P480" s="412">
        <v>5.5</v>
      </c>
    </row>
    <row r="481">
      <c r="A481" s="107" t="s">
        <v>1055</v>
      </c>
      <c r="B481" s="415" t="str">
        <f>HYPERLINK("http://codeforces.com/contest/263/problem/D","CF263-D2-D")</f>
        <v>CF263-D2-D</v>
      </c>
      <c r="C481" s="185"/>
      <c r="D481" s="185"/>
      <c r="E481" s="185"/>
      <c r="F481" s="185"/>
      <c r="G481" s="185"/>
      <c r="H481" s="186"/>
      <c r="I481" s="81">
        <f t="shared" si="1"/>
        <v>0</v>
      </c>
      <c r="J481" s="126"/>
      <c r="K481" s="125"/>
      <c r="L481" s="185"/>
      <c r="M481" s="107"/>
      <c r="N481" s="412" t="s">
        <v>1491</v>
      </c>
      <c r="O481" s="412">
        <v>60.0</v>
      </c>
      <c r="P481" s="412">
        <v>5.5</v>
      </c>
    </row>
    <row r="482">
      <c r="A482" s="107" t="s">
        <v>1166</v>
      </c>
      <c r="B482" s="415" t="str">
        <f>HYPERLINK("http://codeforces.com/contest/237/problem/D","CF237-D2-D")</f>
        <v>CF237-D2-D</v>
      </c>
      <c r="C482" s="185"/>
      <c r="D482" s="185"/>
      <c r="E482" s="185"/>
      <c r="F482" s="185"/>
      <c r="G482" s="185"/>
      <c r="H482" s="186"/>
      <c r="I482" s="81">
        <f t="shared" si="1"/>
        <v>0</v>
      </c>
      <c r="J482" s="86"/>
      <c r="K482" s="80"/>
      <c r="L482" s="434"/>
      <c r="M482" s="430"/>
      <c r="N482" s="412" t="s">
        <v>1498</v>
      </c>
      <c r="O482" s="412">
        <v>60.0</v>
      </c>
      <c r="P482" s="412">
        <v>5.5</v>
      </c>
    </row>
    <row r="483">
      <c r="A483" s="107" t="s">
        <v>871</v>
      </c>
      <c r="B483" s="415" t="str">
        <f>HYPERLINK("https://uva.onlinejudge.org/index.php?option=com_onlinejudge&amp;Itemid=8&amp;page=show_problem&amp;problem=648","UVA 707")</f>
        <v>UVA 707</v>
      </c>
      <c r="C483" s="185"/>
      <c r="D483" s="185"/>
      <c r="E483" s="185"/>
      <c r="F483" s="185"/>
      <c r="G483" s="185"/>
      <c r="H483" s="186"/>
      <c r="I483" s="81">
        <f t="shared" si="1"/>
        <v>0</v>
      </c>
      <c r="J483" s="86"/>
      <c r="K483" s="80"/>
      <c r="L483" s="185"/>
      <c r="M483" s="432" t="str">
        <f>HYPERLINK("https://github.com/VAMPIER000001/CompetitiveProgramming/blob/master/UVA/V-7/UVA%20707.Cpp","Sol")</f>
        <v>Sol</v>
      </c>
      <c r="N483" s="412" t="s">
        <v>1499</v>
      </c>
      <c r="O483" s="412">
        <v>60.0</v>
      </c>
      <c r="P483" s="412">
        <v>5.75</v>
      </c>
    </row>
    <row r="484">
      <c r="A484" s="107" t="s">
        <v>1111</v>
      </c>
      <c r="B484" s="415" t="str">
        <f>HYPERLINK("http://codeforces.com/contest/707/problem/D","CF707-D2-D")</f>
        <v>CF707-D2-D</v>
      </c>
      <c r="C484" s="185"/>
      <c r="D484" s="185"/>
      <c r="E484" s="185"/>
      <c r="F484" s="185"/>
      <c r="G484" s="185"/>
      <c r="H484" s="186"/>
      <c r="I484" s="81">
        <f t="shared" si="1"/>
        <v>0</v>
      </c>
      <c r="J484" s="86"/>
      <c r="K484" s="80"/>
      <c r="L484" s="434"/>
      <c r="M484" s="321" t="str">
        <f>HYPERLINK("https://github.com/AbdelrahmanRamadan/competitive-programming/blob/master/Codeforces/CF707-D2-D.cpp","Sol")</f>
        <v>Sol</v>
      </c>
      <c r="N484" s="412" t="s">
        <v>1500</v>
      </c>
      <c r="O484" s="412">
        <v>60.0</v>
      </c>
      <c r="P484" s="412">
        <v>6.0</v>
      </c>
      <c r="Q484" s="21" t="s">
        <v>1237</v>
      </c>
    </row>
    <row r="485">
      <c r="A485" s="107" t="s">
        <v>1191</v>
      </c>
      <c r="B485" s="415" t="str">
        <f>HYPERLINK("http://codeforces.com/contest/604/problem/D","CF604-D2-D")</f>
        <v>CF604-D2-D</v>
      </c>
      <c r="C485" s="185"/>
      <c r="D485" s="185"/>
      <c r="E485" s="185"/>
      <c r="F485" s="185"/>
      <c r="G485" s="185"/>
      <c r="H485" s="186"/>
      <c r="I485" s="81">
        <f t="shared" si="1"/>
        <v>0</v>
      </c>
      <c r="J485" s="120"/>
      <c r="K485" s="185"/>
      <c r="L485" s="434"/>
      <c r="M485" s="321" t="str">
        <f>HYPERLINK("https://github.com/MohamedNabil97/CompetitiveProgramming/blob/master/CodeForces/CF604-D2-D.cpp","Sol")</f>
        <v>Sol</v>
      </c>
      <c r="N485" s="412" t="s">
        <v>1501</v>
      </c>
      <c r="O485" s="412">
        <v>60.0</v>
      </c>
      <c r="P485" s="412">
        <v>6.0</v>
      </c>
      <c r="Q485" s="21" t="s">
        <v>1235</v>
      </c>
    </row>
    <row r="486">
      <c r="A486" s="107" t="s">
        <v>226</v>
      </c>
      <c r="B486" s="415" t="str">
        <f>HYPERLINK("https://uva.onlinejudge.org/index.php?option=onlinejudge&amp;page=show_problem&amp;problem=288","UVA 352")</f>
        <v>UVA 352</v>
      </c>
      <c r="C486" s="185"/>
      <c r="D486" s="185"/>
      <c r="E486" s="185"/>
      <c r="F486" s="185"/>
      <c r="G486" s="185"/>
      <c r="H486" s="186"/>
      <c r="I486" s="81">
        <f t="shared" si="1"/>
        <v>0</v>
      </c>
      <c r="J486" s="120"/>
      <c r="K486" s="80"/>
      <c r="L486" s="120"/>
      <c r="M486" s="424" t="str">
        <f>HYPERLINK("https://www.youtube.com/watch?v=-nRiMjHEIUg","Video Solution - Eng Mohamed Nasser")</f>
        <v>Video Solution - Eng Mohamed Nasser</v>
      </c>
      <c r="N486" s="412" t="s">
        <v>1502</v>
      </c>
      <c r="O486" s="412">
        <v>61.0</v>
      </c>
      <c r="P486" s="412">
        <v>2.0</v>
      </c>
    </row>
    <row r="487">
      <c r="A487" s="107" t="s">
        <v>228</v>
      </c>
      <c r="B487" s="415" t="str">
        <f>HYPERLINK("https://uva.onlinejudge.org/index.php?option=com_onlinejudge&amp;Itemid=8&amp;page=show_problem&amp;problem=3104","UVA 11953")</f>
        <v>UVA 11953</v>
      </c>
      <c r="C487" s="185"/>
      <c r="D487" s="185"/>
      <c r="E487" s="185"/>
      <c r="F487" s="185"/>
      <c r="G487" s="185"/>
      <c r="H487" s="186"/>
      <c r="I487" s="81">
        <f t="shared" si="1"/>
        <v>0</v>
      </c>
      <c r="J487" s="120"/>
      <c r="K487" s="80"/>
      <c r="L487" s="120"/>
      <c r="M487" s="424" t="str">
        <f>HYPERLINK("https://www.youtube.com/watch?v=nvPucDrmErI","Video Solution - Eng Aya Elymany")</f>
        <v>Video Solution - Eng Aya Elymany</v>
      </c>
      <c r="N487" s="412" t="s">
        <v>1502</v>
      </c>
      <c r="O487" s="412">
        <v>61.0</v>
      </c>
      <c r="P487" s="412">
        <v>3.5</v>
      </c>
    </row>
    <row r="488">
      <c r="A488" s="107" t="s">
        <v>494</v>
      </c>
      <c r="B488" s="415" t="str">
        <f>HYPERLINK("https://uva.onlinejudge.org/index.php?option=onlinejudge&amp;page=show_problem&amp;problem=725","UVA 784")</f>
        <v>UVA 784</v>
      </c>
      <c r="C488" s="185"/>
      <c r="D488" s="185"/>
      <c r="E488" s="185"/>
      <c r="F488" s="185"/>
      <c r="G488" s="185"/>
      <c r="H488" s="186"/>
      <c r="I488" s="81">
        <f t="shared" si="1"/>
        <v>0</v>
      </c>
      <c r="J488" s="86"/>
      <c r="K488" s="80"/>
      <c r="L488" s="185"/>
      <c r="M488" s="219" t="str">
        <f>HYPERLINK("https://www.youtube.com/watch?v=khOAL6TflhE&amp;feature=youtu.be","Video Solution - Eng Mahmoud Adel")</f>
        <v>Video Solution - Eng Mahmoud Adel</v>
      </c>
      <c r="N488" s="412" t="s">
        <v>1502</v>
      </c>
      <c r="O488" s="412">
        <v>61.0</v>
      </c>
      <c r="P488" s="412">
        <v>3.5</v>
      </c>
    </row>
    <row r="489">
      <c r="A489" s="107" t="s">
        <v>440</v>
      </c>
      <c r="B489" s="415" t="str">
        <f>HYPERLINK("https://uva.onlinejudge.org/index.php?option=onlinejudge&amp;page=show_problem&amp;problem=2035","UVA 11094")</f>
        <v>UVA 11094</v>
      </c>
      <c r="C489" s="185"/>
      <c r="D489" s="185"/>
      <c r="E489" s="185"/>
      <c r="F489" s="185"/>
      <c r="G489" s="185"/>
      <c r="H489" s="186"/>
      <c r="I489" s="81">
        <f t="shared" si="1"/>
        <v>0</v>
      </c>
      <c r="J489" s="86"/>
      <c r="K489" s="80"/>
      <c r="L489" s="185"/>
      <c r="M489" s="418" t="str">
        <f>HYPERLINK("https://www.youtube.com/watch?v=vLuFqaQ40RI","Video Solution - Eng Ayman Salah")</f>
        <v>Video Solution - Eng Ayman Salah</v>
      </c>
      <c r="N489" s="412" t="s">
        <v>1502</v>
      </c>
      <c r="O489" s="412">
        <v>61.0</v>
      </c>
      <c r="P489" s="412">
        <v>4.0</v>
      </c>
    </row>
    <row r="490">
      <c r="A490" s="107"/>
      <c r="B490" s="107" t="s">
        <v>900</v>
      </c>
      <c r="C490" s="185"/>
      <c r="D490" s="185"/>
      <c r="E490" s="185"/>
      <c r="F490" s="185"/>
      <c r="G490" s="185"/>
      <c r="H490" s="186"/>
      <c r="I490" s="81">
        <f t="shared" si="1"/>
        <v>0</v>
      </c>
      <c r="J490" s="86"/>
      <c r="K490" s="80"/>
      <c r="L490" s="185"/>
      <c r="M490" s="107"/>
      <c r="N490" s="412" t="s">
        <v>1503</v>
      </c>
      <c r="O490" s="412">
        <v>61.0</v>
      </c>
      <c r="P490" s="412">
        <v>5.0</v>
      </c>
      <c r="Q490" s="21" t="s">
        <v>1237</v>
      </c>
    </row>
    <row r="491">
      <c r="A491" s="107" t="s">
        <v>996</v>
      </c>
      <c r="B491" s="415" t="str">
        <f>HYPERLINK("http://codeforces.com/contest/560/problem/D","CF560-D2-D")</f>
        <v>CF560-D2-D</v>
      </c>
      <c r="C491" s="185"/>
      <c r="D491" s="185"/>
      <c r="E491" s="185"/>
      <c r="F491" s="185"/>
      <c r="G491" s="185"/>
      <c r="H491" s="186"/>
      <c r="I491" s="81">
        <f t="shared" si="1"/>
        <v>0</v>
      </c>
      <c r="J491" s="86"/>
      <c r="K491" s="80"/>
      <c r="L491" s="434"/>
      <c r="M491" s="432" t="str">
        <f>HYPERLINK("https://github.com/VAMPIER000001/CompetitiveProgramming/blob/6ffe2c80fe5aba2bf2d901503b96f1b90053462a/CF/CF560-D2-D(2).Cpp","Sol to learn")</f>
        <v>Sol to learn</v>
      </c>
      <c r="N491" s="412" t="s">
        <v>1504</v>
      </c>
      <c r="O491" s="412">
        <v>62.0</v>
      </c>
      <c r="P491" s="412">
        <v>4.0</v>
      </c>
      <c r="Q491" s="21" t="s">
        <v>1235</v>
      </c>
    </row>
    <row r="492">
      <c r="A492" s="107" t="s">
        <v>818</v>
      </c>
      <c r="B492" s="415" t="str">
        <f>HYPERLINK("https://icpcarchive.ecs.baylor.edu/index.php?option=com_onlinejudge&amp;Itemid=8&amp;page=show_problem&amp;problem=936","LIVEARCHIVE 2935")</f>
        <v>LIVEARCHIVE 2935</v>
      </c>
      <c r="C492" s="185"/>
      <c r="D492" s="185"/>
      <c r="E492" s="185"/>
      <c r="F492" s="185"/>
      <c r="G492" s="185"/>
      <c r="H492" s="186"/>
      <c r="I492" s="81">
        <f t="shared" si="1"/>
        <v>0</v>
      </c>
      <c r="J492" s="86"/>
      <c r="K492" s="80"/>
      <c r="L492" s="185"/>
      <c r="M492" s="432" t="str">
        <f>HYPERLINK("https://github.com/mostafa-saad/MyCompetitiveProgramming/blob/master/LiveArchive/LiveArchive_2935.txt","Sol")</f>
        <v>Sol</v>
      </c>
      <c r="N492" s="412" t="s">
        <v>1505</v>
      </c>
      <c r="O492" s="412">
        <v>62.0</v>
      </c>
      <c r="P492" s="412">
        <v>4.5</v>
      </c>
      <c r="Q492" s="21" t="s">
        <v>1262</v>
      </c>
    </row>
    <row r="493">
      <c r="A493" s="107" t="s">
        <v>230</v>
      </c>
      <c r="B493" s="415" t="str">
        <f>HYPERLINK("http://www.spoj.com/problems/MAKETREE/","SPOJ MAKETREE")</f>
        <v>SPOJ MAKETREE</v>
      </c>
      <c r="C493" s="185"/>
      <c r="D493" s="185"/>
      <c r="E493" s="185"/>
      <c r="F493" s="185"/>
      <c r="G493" s="185"/>
      <c r="H493" s="186"/>
      <c r="I493" s="81">
        <f t="shared" si="1"/>
        <v>0</v>
      </c>
      <c r="J493" s="120"/>
      <c r="K493" s="80"/>
      <c r="L493" s="120"/>
      <c r="M493" s="101" t="str">
        <f>HYPERLINK("https://www.youtube.com/watch?v=Rmi_2e6gt5M","Video Solution - Eng Yahia Ashraf")</f>
        <v>Video Solution - Eng Yahia Ashraf</v>
      </c>
      <c r="N493" s="412" t="s">
        <v>1506</v>
      </c>
      <c r="O493" s="412">
        <v>63.0</v>
      </c>
      <c r="P493" s="412">
        <v>2.0</v>
      </c>
    </row>
    <row r="494">
      <c r="A494" s="107" t="s">
        <v>231</v>
      </c>
      <c r="B494" s="415" t="str">
        <f>HYPERLINK("https://uva.onlinejudge.org/index.php?option=onlinejudge&amp;page=show_problem&amp;problem=1246","UVA 10305")</f>
        <v>UVA 10305</v>
      </c>
      <c r="C494" s="185"/>
      <c r="D494" s="185"/>
      <c r="E494" s="185"/>
      <c r="F494" s="185"/>
      <c r="G494" s="185"/>
      <c r="H494" s="186"/>
      <c r="I494" s="81">
        <f t="shared" si="1"/>
        <v>0</v>
      </c>
      <c r="J494" s="120"/>
      <c r="K494" s="80"/>
      <c r="L494" s="120"/>
      <c r="M494" s="101" t="str">
        <f>HYPERLINK("https://www.youtube.com/watch?v=4t-4ZC8BRj8","Video Solution - Eng Yahia Ashraf")</f>
        <v>Video Solution - Eng Yahia Ashraf</v>
      </c>
      <c r="N494" s="412" t="s">
        <v>1506</v>
      </c>
      <c r="O494" s="412">
        <v>63.0</v>
      </c>
      <c r="P494" s="412">
        <v>3.0</v>
      </c>
    </row>
    <row r="495">
      <c r="A495" s="107"/>
      <c r="B495" s="107" t="s">
        <v>1124</v>
      </c>
      <c r="C495" s="185"/>
      <c r="D495" s="185"/>
      <c r="E495" s="185"/>
      <c r="F495" s="185"/>
      <c r="G495" s="185"/>
      <c r="H495" s="186"/>
      <c r="I495" s="81">
        <f t="shared" si="1"/>
        <v>0</v>
      </c>
      <c r="J495" s="126"/>
      <c r="K495" s="125"/>
      <c r="L495" s="434"/>
      <c r="M495" s="435"/>
      <c r="N495" s="412" t="s">
        <v>1507</v>
      </c>
      <c r="O495" s="412">
        <v>63.0</v>
      </c>
      <c r="P495" s="412">
        <v>4.0</v>
      </c>
      <c r="Q495" s="21"/>
    </row>
    <row r="496">
      <c r="A496" s="107" t="s">
        <v>658</v>
      </c>
      <c r="B496" s="415" t="str">
        <f>HYPERLINK("https://uva.onlinejudge.org/index.php?option=com_onlinejudge&amp;Itemid=8&amp;page=show_problem&amp;problem=132","UVA 196")</f>
        <v>UVA 196</v>
      </c>
      <c r="C496" s="185"/>
      <c r="D496" s="185"/>
      <c r="E496" s="185"/>
      <c r="F496" s="185"/>
      <c r="G496" s="185"/>
      <c r="H496" s="186"/>
      <c r="I496" s="81">
        <f t="shared" si="1"/>
        <v>0</v>
      </c>
      <c r="J496" s="126"/>
      <c r="K496" s="125"/>
      <c r="L496" s="185"/>
      <c r="M496" s="259" t="s">
        <v>625</v>
      </c>
      <c r="N496" s="412" t="s">
        <v>1508</v>
      </c>
      <c r="O496" s="412">
        <v>63.0</v>
      </c>
      <c r="P496" s="412">
        <v>4.0</v>
      </c>
      <c r="Q496" s="21" t="s">
        <v>1237</v>
      </c>
    </row>
    <row r="497">
      <c r="A497" s="107" t="s">
        <v>680</v>
      </c>
      <c r="B497" s="415" t="str">
        <f>HYPERLINK("https://uva.onlinejudge.org/index.php?option=com_onlinejudge&amp;Itemid=8&amp;page=show_problem&amp;problem=3415","UVA 12263")</f>
        <v>UVA 12263</v>
      </c>
      <c r="C497" s="185"/>
      <c r="D497" s="185"/>
      <c r="E497" s="185"/>
      <c r="F497" s="185"/>
      <c r="G497" s="185"/>
      <c r="H497" s="186"/>
      <c r="I497" s="81">
        <f t="shared" si="1"/>
        <v>0</v>
      </c>
      <c r="J497" s="86"/>
      <c r="K497" s="80"/>
      <c r="L497" s="86"/>
      <c r="M497" s="421" t="str">
        <f>HYPERLINK("https://github.com/mostafa-saad/MyCompetitiveProgramming/blob/master/UVA/UVA_12263.txt","Sol")</f>
        <v>Sol</v>
      </c>
      <c r="N497" s="412" t="s">
        <v>1506</v>
      </c>
      <c r="O497" s="412">
        <v>63.0</v>
      </c>
      <c r="P497" s="412">
        <v>4.0</v>
      </c>
      <c r="Q497" s="21" t="s">
        <v>1235</v>
      </c>
    </row>
    <row r="498">
      <c r="A498" s="107" t="s">
        <v>846</v>
      </c>
      <c r="B498" s="415" t="str">
        <f>HYPERLINK("https://uva.onlinejudge.org/index.php?option=com_onlinejudge&amp;Itemid=8&amp;page=show_problem&amp;problem=2733","UVA 11686")</f>
        <v>UVA 11686</v>
      </c>
      <c r="C498" s="185"/>
      <c r="D498" s="185"/>
      <c r="E498" s="185"/>
      <c r="F498" s="185"/>
      <c r="G498" s="185"/>
      <c r="H498" s="186"/>
      <c r="I498" s="81">
        <f t="shared" si="1"/>
        <v>0</v>
      </c>
      <c r="J498" s="126"/>
      <c r="K498" s="126"/>
      <c r="L498" s="120"/>
      <c r="M498" s="432" t="str">
        <f>HYPERLINK("https://github.com/VAMPIER000001/CompetitiveProgramming/blob/master/UVA/V-116/UVA%2011686.Cpp","Sol")</f>
        <v>Sol</v>
      </c>
      <c r="N498" s="412" t="s">
        <v>1509</v>
      </c>
      <c r="O498" s="412">
        <v>63.0</v>
      </c>
      <c r="P498" s="412">
        <v>4.0</v>
      </c>
    </row>
    <row r="499">
      <c r="A499" s="107"/>
      <c r="B499" s="107" t="s">
        <v>1095</v>
      </c>
      <c r="C499" s="185"/>
      <c r="D499" s="185"/>
      <c r="E499" s="185"/>
      <c r="F499" s="185"/>
      <c r="G499" s="185"/>
      <c r="H499" s="186"/>
      <c r="I499" s="81">
        <f t="shared" si="1"/>
        <v>0</v>
      </c>
      <c r="J499" s="126"/>
      <c r="K499" s="125"/>
      <c r="L499" s="185"/>
      <c r="M499" s="428"/>
      <c r="N499" s="412" t="s">
        <v>1506</v>
      </c>
      <c r="O499" s="412">
        <v>63.0</v>
      </c>
      <c r="P499" s="412">
        <v>5.0</v>
      </c>
      <c r="Q499" s="21" t="s">
        <v>1237</v>
      </c>
    </row>
    <row r="500">
      <c r="A500" s="107" t="s">
        <v>955</v>
      </c>
      <c r="B500" s="415" t="str">
        <f>HYPERLINK("http://codeforces.com/contest/645/problem/D","CF645-D12-D")</f>
        <v>CF645-D12-D</v>
      </c>
      <c r="C500" s="185"/>
      <c r="D500" s="185"/>
      <c r="E500" s="185"/>
      <c r="F500" s="185"/>
      <c r="G500" s="185"/>
      <c r="H500" s="186"/>
      <c r="I500" s="81">
        <f t="shared" si="1"/>
        <v>0</v>
      </c>
      <c r="J500" s="120"/>
      <c r="K500" s="185"/>
      <c r="L500" s="185"/>
      <c r="M500" s="435"/>
      <c r="N500" s="412" t="s">
        <v>1510</v>
      </c>
      <c r="O500" s="412">
        <v>63.0</v>
      </c>
      <c r="P500" s="412">
        <v>5.0</v>
      </c>
      <c r="Q500" s="21" t="s">
        <v>1237</v>
      </c>
    </row>
    <row r="501">
      <c r="A501" s="107" t="s">
        <v>1105</v>
      </c>
      <c r="B501" s="415" t="str">
        <f>HYPERLINK("http://codeforces.com/contest/681/problem/D","CF681-D2-D")</f>
        <v>CF681-D2-D</v>
      </c>
      <c r="C501" s="185"/>
      <c r="D501" s="185"/>
      <c r="E501" s="185"/>
      <c r="F501" s="185"/>
      <c r="G501" s="185"/>
      <c r="H501" s="186"/>
      <c r="I501" s="81">
        <f t="shared" si="1"/>
        <v>0</v>
      </c>
      <c r="J501" s="86"/>
      <c r="K501" s="80"/>
      <c r="L501" s="185"/>
      <c r="M501" s="435"/>
      <c r="N501" s="412" t="s">
        <v>1511</v>
      </c>
      <c r="O501" s="412">
        <v>63.0</v>
      </c>
      <c r="P501" s="412">
        <v>5.0</v>
      </c>
      <c r="Q501" s="21" t="s">
        <v>1235</v>
      </c>
    </row>
    <row r="502">
      <c r="A502" s="107" t="s">
        <v>1216</v>
      </c>
      <c r="B502" s="415" t="str">
        <f>HYPERLINK("http://codeforces.com/contest/812/problem/D","CF812-D2-D")</f>
        <v>CF812-D2-D</v>
      </c>
      <c r="C502" s="185"/>
      <c r="D502" s="185"/>
      <c r="E502" s="185"/>
      <c r="F502" s="185"/>
      <c r="G502" s="185"/>
      <c r="H502" s="186"/>
      <c r="I502" s="81">
        <f t="shared" si="1"/>
        <v>0</v>
      </c>
      <c r="J502" s="86"/>
      <c r="K502" s="80"/>
      <c r="L502" s="185"/>
      <c r="M502" s="432" t="str">
        <f>HYPERLINK("https://github.com/BRAINOOOO/CompetitiveProgramming/blob/master/CF/CF812-D2-D","Sol")</f>
        <v>Sol</v>
      </c>
      <c r="N502" s="412" t="s">
        <v>1512</v>
      </c>
      <c r="O502" s="412">
        <v>63.0</v>
      </c>
      <c r="P502" s="412">
        <v>6.0</v>
      </c>
      <c r="Q502" s="21" t="s">
        <v>1262</v>
      </c>
    </row>
    <row r="503">
      <c r="A503" s="107" t="s">
        <v>750</v>
      </c>
      <c r="B503" s="415" t="str">
        <f>HYPERLINK("http://www.spoj.com/problems/SHOP/","SPOJ SHOP")</f>
        <v>SPOJ SHOP</v>
      </c>
      <c r="C503" s="185"/>
      <c r="D503" s="185"/>
      <c r="E503" s="185"/>
      <c r="F503" s="185"/>
      <c r="G503" s="185"/>
      <c r="H503" s="186"/>
      <c r="I503" s="81">
        <f t="shared" si="1"/>
        <v>0</v>
      </c>
      <c r="J503" s="86"/>
      <c r="K503" s="80"/>
      <c r="L503" s="120"/>
      <c r="M503" s="257"/>
      <c r="N503" s="412" t="s">
        <v>1513</v>
      </c>
      <c r="O503" s="412">
        <v>64.0</v>
      </c>
      <c r="P503" s="412">
        <v>3.0</v>
      </c>
    </row>
    <row r="504">
      <c r="A504" s="107" t="s">
        <v>748</v>
      </c>
      <c r="B504" s="415" t="str">
        <f>HYPERLINK("https://uva.onlinejudge.org/index.php?option=com_onlinejudge&amp;Itemid=8&amp;page=show_problem&amp;problem=1927","UVA 10986")</f>
        <v>UVA 10986</v>
      </c>
      <c r="C504" s="185"/>
      <c r="D504" s="185"/>
      <c r="E504" s="185"/>
      <c r="F504" s="185"/>
      <c r="G504" s="185"/>
      <c r="H504" s="186"/>
      <c r="I504" s="81">
        <f t="shared" si="1"/>
        <v>0</v>
      </c>
      <c r="J504" s="86"/>
      <c r="K504" s="80"/>
      <c r="L504" s="120"/>
      <c r="M504" s="257"/>
      <c r="N504" s="412" t="s">
        <v>1513</v>
      </c>
      <c r="O504" s="412">
        <v>64.0</v>
      </c>
      <c r="P504" s="412">
        <v>3.0</v>
      </c>
    </row>
    <row r="505">
      <c r="A505" s="107" t="s">
        <v>1006</v>
      </c>
      <c r="B505" s="415" t="str">
        <f>HYPERLINK("http://www.spoj.com/problems/MELE3/","SPOJ MELE3")</f>
        <v>SPOJ MELE3</v>
      </c>
      <c r="C505" s="185"/>
      <c r="D505" s="185"/>
      <c r="E505" s="185"/>
      <c r="F505" s="185"/>
      <c r="G505" s="185"/>
      <c r="H505" s="186"/>
      <c r="I505" s="81">
        <f t="shared" si="1"/>
        <v>0</v>
      </c>
      <c r="J505" s="86"/>
      <c r="K505" s="80"/>
      <c r="L505" s="185"/>
      <c r="M505" s="432" t="str">
        <f>HYPERLINK("https://github.com/VAMPIER000001/CompetitiveProgramming/blob/a5d714fa4de45e50f87306d421ec6c3c02026f76/Spoj/SPOJ%20MELE3.Cpp","Sol")</f>
        <v>Sol</v>
      </c>
      <c r="N505" s="412" t="s">
        <v>1513</v>
      </c>
      <c r="O505" s="412">
        <v>64.0</v>
      </c>
      <c r="P505" s="412">
        <v>4.5</v>
      </c>
      <c r="Q505" s="21"/>
    </row>
    <row r="506">
      <c r="A506" s="107" t="s">
        <v>1007</v>
      </c>
      <c r="B506" s="415" t="str">
        <f>HYPERLINK("http://www.spoj.com/problems/ROADS/en/","SPOJ ROADS")</f>
        <v>SPOJ ROADS</v>
      </c>
      <c r="C506" s="185"/>
      <c r="D506" s="185"/>
      <c r="E506" s="185"/>
      <c r="F506" s="185"/>
      <c r="G506" s="185"/>
      <c r="H506" s="186"/>
      <c r="I506" s="81">
        <f t="shared" si="1"/>
        <v>0</v>
      </c>
      <c r="J506" s="86"/>
      <c r="K506" s="80"/>
      <c r="L506" s="185"/>
      <c r="M506" s="432" t="str">
        <f>HYPERLINK("https://github.com/mostafa-saad/MyCompetitiveProgramming/blob/master/SPOJ/SPOJ_ROADS.txt","Sol")</f>
        <v>Sol</v>
      </c>
      <c r="N506" s="412" t="s">
        <v>1514</v>
      </c>
      <c r="O506" s="412">
        <v>64.0</v>
      </c>
      <c r="P506" s="412">
        <v>4.5</v>
      </c>
      <c r="Q506" s="21" t="s">
        <v>1237</v>
      </c>
    </row>
    <row r="507">
      <c r="A507" s="107" t="s">
        <v>749</v>
      </c>
      <c r="B507" s="415" t="str">
        <f>HYPERLINK("https://uva.onlinejudge.org/index.php?option=onlinejudge&amp;page=show_problem&amp;problem=1742","UVA 10801")</f>
        <v>UVA 10801</v>
      </c>
      <c r="C507" s="185"/>
      <c r="D507" s="185"/>
      <c r="E507" s="185"/>
      <c r="F507" s="185"/>
      <c r="G507" s="185"/>
      <c r="H507" s="186"/>
      <c r="I507" s="81">
        <f t="shared" si="1"/>
        <v>0</v>
      </c>
      <c r="J507" s="86"/>
      <c r="K507" s="80"/>
      <c r="L507" s="120"/>
      <c r="M507" s="257"/>
      <c r="N507" s="412" t="s">
        <v>1513</v>
      </c>
      <c r="O507" s="412">
        <v>64.0</v>
      </c>
      <c r="P507" s="412">
        <v>4.5</v>
      </c>
    </row>
    <row r="508">
      <c r="A508" s="107"/>
      <c r="B508" s="107" t="s">
        <v>1128</v>
      </c>
      <c r="C508" s="185"/>
      <c r="D508" s="185"/>
      <c r="E508" s="185"/>
      <c r="F508" s="185"/>
      <c r="G508" s="185"/>
      <c r="H508" s="186"/>
      <c r="I508" s="81">
        <f t="shared" si="1"/>
        <v>0</v>
      </c>
      <c r="J508" s="120"/>
      <c r="K508" s="185"/>
      <c r="L508" s="434"/>
      <c r="M508" s="321" t="str">
        <f>HYPERLINK("https://github.com/mostafa-saad/MyCompetitiveProgramming/blob/master/UVA/UVA_10740.txt","Sol")</f>
        <v>Sol</v>
      </c>
      <c r="N508" s="412" t="s">
        <v>1515</v>
      </c>
      <c r="O508" s="412">
        <v>64.0</v>
      </c>
      <c r="P508" s="412">
        <v>5.0</v>
      </c>
      <c r="Q508" s="21" t="s">
        <v>1237</v>
      </c>
    </row>
    <row r="509">
      <c r="A509" s="107" t="s">
        <v>976</v>
      </c>
      <c r="B509" s="415" t="str">
        <f>HYPERLINK("http://codeforces.com/contest/96/problem/D","CF96-D2-D")</f>
        <v>CF96-D2-D</v>
      </c>
      <c r="C509" s="185"/>
      <c r="D509" s="185"/>
      <c r="E509" s="185"/>
      <c r="F509" s="185"/>
      <c r="G509" s="185"/>
      <c r="H509" s="186"/>
      <c r="I509" s="81">
        <f t="shared" si="1"/>
        <v>0</v>
      </c>
      <c r="J509" s="126"/>
      <c r="K509" s="125"/>
      <c r="L509" s="185"/>
      <c r="M509" s="430"/>
      <c r="N509" s="412" t="s">
        <v>1516</v>
      </c>
      <c r="O509" s="412">
        <v>64.0</v>
      </c>
      <c r="P509" s="412">
        <v>5.0</v>
      </c>
      <c r="Q509" s="21" t="s">
        <v>1237</v>
      </c>
    </row>
    <row r="510">
      <c r="A510" s="107"/>
      <c r="B510" s="107" t="s">
        <v>923</v>
      </c>
      <c r="C510" s="185"/>
      <c r="D510" s="185"/>
      <c r="E510" s="185"/>
      <c r="F510" s="185"/>
      <c r="G510" s="185"/>
      <c r="H510" s="186"/>
      <c r="I510" s="81">
        <f t="shared" si="1"/>
        <v>0</v>
      </c>
      <c r="J510" s="126"/>
      <c r="K510" s="125"/>
      <c r="L510" s="185"/>
      <c r="M510" s="321" t="str">
        <f>HYPERLINK("https://github.com/ilyesG/Competitive-Programming/blob/master/UVA/UVA%2012047.cpp","Sol")</f>
        <v>Sol</v>
      </c>
      <c r="N510" s="412" t="s">
        <v>1513</v>
      </c>
      <c r="O510" s="412">
        <v>64.0</v>
      </c>
      <c r="P510" s="412">
        <v>5.5</v>
      </c>
      <c r="Q510" s="21" t="s">
        <v>1237</v>
      </c>
    </row>
    <row r="511">
      <c r="A511" s="107"/>
      <c r="B511" s="107" t="s">
        <v>957</v>
      </c>
      <c r="C511" s="185"/>
      <c r="D511" s="185"/>
      <c r="E511" s="185"/>
      <c r="F511" s="185"/>
      <c r="G511" s="185"/>
      <c r="H511" s="186"/>
      <c r="I511" s="81">
        <f t="shared" si="1"/>
        <v>0</v>
      </c>
      <c r="J511" s="120"/>
      <c r="K511" s="185"/>
      <c r="L511" s="185"/>
      <c r="M511" s="321" t="str">
        <f>HYPERLINK("https://ideone.com/x8zpRc","Sol - read the statement clarification")</f>
        <v>Sol - read the statement clarification</v>
      </c>
      <c r="N511" s="412" t="s">
        <v>1517</v>
      </c>
      <c r="O511" s="412">
        <v>64.0</v>
      </c>
      <c r="P511" s="412">
        <v>5.5</v>
      </c>
      <c r="Q511" s="21" t="s">
        <v>1237</v>
      </c>
    </row>
    <row r="512">
      <c r="A512" s="107" t="s">
        <v>1049</v>
      </c>
      <c r="B512" s="107" t="s">
        <v>1050</v>
      </c>
      <c r="C512" s="185"/>
      <c r="D512" s="185"/>
      <c r="E512" s="185"/>
      <c r="F512" s="185"/>
      <c r="G512" s="185"/>
      <c r="H512" s="186"/>
      <c r="I512" s="81">
        <f t="shared" si="1"/>
        <v>0</v>
      </c>
      <c r="J512" s="126"/>
      <c r="K512" s="125"/>
      <c r="L512" s="434"/>
      <c r="M512" s="432" t="str">
        <f>HYPERLINK("https://github.com/BRAINOOO/CompetitiveProgramming/blob/master/UVA/V-116/UVA%2011635.Cpp","Sol")</f>
        <v>Sol</v>
      </c>
      <c r="N512" s="412" t="s">
        <v>1513</v>
      </c>
      <c r="O512" s="412">
        <v>64.0</v>
      </c>
      <c r="P512" s="412">
        <v>5.5</v>
      </c>
    </row>
    <row r="513">
      <c r="A513" s="107" t="s">
        <v>495</v>
      </c>
      <c r="B513" s="107" t="s">
        <v>496</v>
      </c>
      <c r="C513" s="185"/>
      <c r="D513" s="185"/>
      <c r="E513" s="185"/>
      <c r="F513" s="185"/>
      <c r="G513" s="185"/>
      <c r="H513" s="186"/>
      <c r="I513" s="81">
        <f t="shared" si="1"/>
        <v>0</v>
      </c>
      <c r="J513" s="86"/>
      <c r="K513" s="80"/>
      <c r="L513" s="185"/>
      <c r="M513" s="436"/>
      <c r="N513" s="412" t="s">
        <v>1518</v>
      </c>
      <c r="O513" s="412">
        <v>65.0</v>
      </c>
      <c r="P513" s="412">
        <v>2.0</v>
      </c>
    </row>
    <row r="514">
      <c r="A514" s="107" t="s">
        <v>953</v>
      </c>
      <c r="B514" s="415" t="str">
        <f>HYPERLINK("https://uva.onlinejudge.org/index.php?option=onlinejudge&amp;page=show_problem&amp;problem=1119","UVA 10178")</f>
        <v>UVA 10178</v>
      </c>
      <c r="C514" s="185"/>
      <c r="D514" s="185"/>
      <c r="E514" s="185"/>
      <c r="F514" s="185"/>
      <c r="G514" s="185"/>
      <c r="H514" s="186"/>
      <c r="I514" s="81">
        <f t="shared" si="1"/>
        <v>0</v>
      </c>
      <c r="J514" s="126"/>
      <c r="K514" s="125"/>
      <c r="L514" s="185"/>
      <c r="M514" s="429" t="str">
        <f>HYPERLINK("https://en.wikipedia.org/wiki/Planar_graph#Euler's_formula","Read first Euler Formula")</f>
        <v>Read first Euler Formula</v>
      </c>
      <c r="N514" s="412" t="s">
        <v>1519</v>
      </c>
      <c r="O514" s="412">
        <v>65.0</v>
      </c>
      <c r="P514" s="412">
        <v>4.0</v>
      </c>
      <c r="Q514" s="21" t="s">
        <v>1235</v>
      </c>
    </row>
    <row r="515">
      <c r="A515" s="107" t="s">
        <v>706</v>
      </c>
      <c r="B515" s="415" t="str">
        <f>HYPERLINK("http://codeforces.com/contest/278/problem/C","CF278-D2-C")</f>
        <v>CF278-D2-C</v>
      </c>
      <c r="C515" s="185"/>
      <c r="D515" s="185"/>
      <c r="E515" s="185"/>
      <c r="F515" s="185"/>
      <c r="G515" s="185"/>
      <c r="H515" s="186"/>
      <c r="I515" s="81">
        <f t="shared" si="1"/>
        <v>0</v>
      </c>
      <c r="J515" s="86"/>
      <c r="K515" s="80"/>
      <c r="L515" s="185"/>
      <c r="M515" s="428"/>
      <c r="N515" s="412" t="s">
        <v>1518</v>
      </c>
      <c r="O515" s="412">
        <v>65.0</v>
      </c>
      <c r="P515" s="412">
        <v>4.0</v>
      </c>
    </row>
    <row r="516">
      <c r="A516" s="107" t="s">
        <v>469</v>
      </c>
      <c r="B516" s="415" t="str">
        <f>HYPERLINK("https://uva.onlinejudge.org/index.php?option=onlinejudge&amp;page=show_problem&amp;problem=2498","UVA 11503")</f>
        <v>UVA 11503</v>
      </c>
      <c r="C516" s="185"/>
      <c r="D516" s="185"/>
      <c r="E516" s="185"/>
      <c r="F516" s="185"/>
      <c r="G516" s="185"/>
      <c r="H516" s="186"/>
      <c r="I516" s="81">
        <f t="shared" si="1"/>
        <v>0</v>
      </c>
      <c r="J516" s="86"/>
      <c r="K516" s="80"/>
      <c r="L516" s="185"/>
      <c r="M516" s="219" t="str">
        <f>HYPERLINK("https://www.youtube.com/watch?v=kO_XbOt1drc","Video Solution - Eng Moaz Rashad")</f>
        <v>Video Solution - Eng Moaz Rashad</v>
      </c>
      <c r="N516" s="412" t="s">
        <v>1518</v>
      </c>
      <c r="O516" s="412">
        <v>65.0</v>
      </c>
      <c r="P516" s="412">
        <v>4.0</v>
      </c>
    </row>
    <row r="517">
      <c r="A517" s="107" t="s">
        <v>1029</v>
      </c>
      <c r="B517" s="107" t="s">
        <v>1030</v>
      </c>
      <c r="C517" s="185"/>
      <c r="D517" s="185"/>
      <c r="E517" s="185"/>
      <c r="F517" s="185"/>
      <c r="G517" s="185"/>
      <c r="H517" s="186"/>
      <c r="I517" s="81">
        <f t="shared" si="1"/>
        <v>0</v>
      </c>
      <c r="J517" s="120"/>
      <c r="K517" s="185"/>
      <c r="L517" s="434"/>
      <c r="M517" s="432" t="str">
        <f>HYPERLINK("https://github.com/VAMPIER000001/CompetitiveProgramming/blob/master/UVA/V-119/UVA%2011987.Cpp","Sol")</f>
        <v>Sol</v>
      </c>
      <c r="N517" s="412" t="s">
        <v>1518</v>
      </c>
      <c r="O517" s="412">
        <v>65.0</v>
      </c>
      <c r="P517" s="412">
        <v>4.5</v>
      </c>
      <c r="Q517" s="21" t="s">
        <v>1237</v>
      </c>
    </row>
    <row r="518">
      <c r="A518" s="107" t="s">
        <v>1197</v>
      </c>
      <c r="B518" s="415" t="str">
        <f>HYPERLINK("http://codeforces.com/contest/104/problem/C","CF104-D2-C")</f>
        <v>CF104-D2-C</v>
      </c>
      <c r="C518" s="185"/>
      <c r="D518" s="185"/>
      <c r="E518" s="185"/>
      <c r="F518" s="185"/>
      <c r="G518" s="185"/>
      <c r="H518" s="186"/>
      <c r="I518" s="81">
        <f t="shared" si="1"/>
        <v>0</v>
      </c>
      <c r="J518" s="126"/>
      <c r="K518" s="125"/>
      <c r="L518" s="434"/>
      <c r="M518" s="435"/>
      <c r="N518" s="412" t="s">
        <v>1518</v>
      </c>
      <c r="O518" s="412">
        <v>65.0</v>
      </c>
      <c r="P518" s="412">
        <v>4.5</v>
      </c>
    </row>
    <row r="519">
      <c r="A519" s="107" t="s">
        <v>1155</v>
      </c>
      <c r="B519" s="415" t="str">
        <f>HYPERLINK("http://codeforces.com/contest/437/problem/D","CF437-D2-D")</f>
        <v>CF437-D2-D</v>
      </c>
      <c r="C519" s="185"/>
      <c r="D519" s="185"/>
      <c r="E519" s="185"/>
      <c r="F519" s="185"/>
      <c r="G519" s="185"/>
      <c r="H519" s="186"/>
      <c r="I519" s="81">
        <f t="shared" si="1"/>
        <v>0</v>
      </c>
      <c r="J519" s="86"/>
      <c r="K519" s="80"/>
      <c r="L519" s="434"/>
      <c r="M519" s="435"/>
      <c r="N519" s="412" t="s">
        <v>1518</v>
      </c>
      <c r="O519" s="412">
        <v>65.0</v>
      </c>
      <c r="P519" s="412">
        <v>5.0</v>
      </c>
      <c r="Q519" s="21"/>
    </row>
    <row r="520">
      <c r="A520" s="107" t="s">
        <v>925</v>
      </c>
      <c r="B520" s="415" t="str">
        <f>HYPERLINK("http://codeforces.com/contest/766/problem/D","CF766-D2-D")</f>
        <v>CF766-D2-D</v>
      </c>
      <c r="C520" s="185"/>
      <c r="D520" s="185"/>
      <c r="E520" s="185"/>
      <c r="F520" s="185"/>
      <c r="G520" s="185"/>
      <c r="H520" s="186"/>
      <c r="I520" s="81">
        <f t="shared" si="1"/>
        <v>0</v>
      </c>
      <c r="J520" s="86"/>
      <c r="K520" s="80"/>
      <c r="L520" s="185"/>
      <c r="M520" s="418" t="str">
        <f>HYPERLINK("https://www.youtube.com/watch?v=W0O3QNh0-DU","Video Solution - Solver to be (Java)")</f>
        <v>Video Solution - Solver to be (Java)</v>
      </c>
      <c r="N520" s="412" t="s">
        <v>1520</v>
      </c>
      <c r="O520" s="412">
        <v>65.0</v>
      </c>
      <c r="P520" s="412">
        <v>5.0</v>
      </c>
      <c r="Q520" s="21" t="s">
        <v>1237</v>
      </c>
    </row>
    <row r="521">
      <c r="A521" s="107"/>
      <c r="B521" s="415" t="str">
        <f>HYPERLINK("http://codeforces.com/contest/1012/problem/B","CF1012-D1-B")</f>
        <v>CF1012-D1-B</v>
      </c>
      <c r="C521" s="185"/>
      <c r="D521" s="185"/>
      <c r="E521" s="185"/>
      <c r="F521" s="185"/>
      <c r="G521" s="185"/>
      <c r="H521" s="186"/>
      <c r="I521" s="81">
        <f t="shared" si="1"/>
        <v>0</v>
      </c>
      <c r="J521" s="126"/>
      <c r="K521" s="125"/>
      <c r="L521" s="185"/>
      <c r="M521" s="435"/>
      <c r="N521" s="412" t="s">
        <v>1518</v>
      </c>
      <c r="O521" s="412">
        <v>65.0</v>
      </c>
      <c r="P521" s="412">
        <v>5.25</v>
      </c>
      <c r="Q521" s="21" t="s">
        <v>1235</v>
      </c>
    </row>
    <row r="522">
      <c r="A522" s="107"/>
      <c r="B522" s="107" t="s">
        <v>1157</v>
      </c>
      <c r="C522" s="185"/>
      <c r="D522" s="185"/>
      <c r="E522" s="185"/>
      <c r="F522" s="185"/>
      <c r="G522" s="185"/>
      <c r="H522" s="186"/>
      <c r="I522" s="81">
        <f t="shared" si="1"/>
        <v>0</v>
      </c>
      <c r="J522" s="86"/>
      <c r="K522" s="80"/>
      <c r="L522" s="434"/>
      <c r="M522" s="435"/>
      <c r="N522" s="412" t="s">
        <v>1521</v>
      </c>
      <c r="O522" s="412">
        <v>65.0</v>
      </c>
      <c r="P522" s="412">
        <v>5.5</v>
      </c>
      <c r="Q522" s="21" t="s">
        <v>1235</v>
      </c>
    </row>
    <row r="523">
      <c r="A523" s="107" t="s">
        <v>1152</v>
      </c>
      <c r="B523" s="415" t="str">
        <f>HYPERLINK("http://codeforces.com/contest/292/problem/D","CF292-D12-D")</f>
        <v>CF292-D12-D</v>
      </c>
      <c r="C523" s="185"/>
      <c r="D523" s="185"/>
      <c r="E523" s="185"/>
      <c r="F523" s="185"/>
      <c r="G523" s="185"/>
      <c r="H523" s="186"/>
      <c r="I523" s="81">
        <f t="shared" si="1"/>
        <v>0</v>
      </c>
      <c r="J523" s="86"/>
      <c r="K523" s="80"/>
      <c r="L523" s="434"/>
      <c r="M523" s="435"/>
      <c r="N523" s="412" t="s">
        <v>1518</v>
      </c>
      <c r="O523" s="412">
        <v>65.0</v>
      </c>
      <c r="P523" s="412">
        <v>5.75</v>
      </c>
      <c r="Q523" s="21" t="s">
        <v>1237</v>
      </c>
    </row>
    <row r="524">
      <c r="A524" s="107" t="s">
        <v>1020</v>
      </c>
      <c r="B524" s="415" t="str">
        <f>HYPERLINK("https://uva.onlinejudge.org/index.php?option=onlinejudge&amp;page=show_problem&amp;problem=122","UVA 186")</f>
        <v>UVA 186</v>
      </c>
      <c r="C524" s="185"/>
      <c r="D524" s="185"/>
      <c r="E524" s="185"/>
      <c r="F524" s="185"/>
      <c r="G524" s="185"/>
      <c r="H524" s="186"/>
      <c r="I524" s="81">
        <f t="shared" si="1"/>
        <v>0</v>
      </c>
      <c r="J524" s="86"/>
      <c r="K524" s="80"/>
      <c r="L524" s="185"/>
      <c r="M524" s="432" t="str">
        <f>HYPERLINK("https://github.com/VAMPIER000001/CompetitiveProgramming/blob/master/UVA/V-1/UVA%20186.Cpp","Sol")</f>
        <v>Sol</v>
      </c>
      <c r="N524" s="412" t="s">
        <v>1522</v>
      </c>
      <c r="O524" s="412">
        <v>68.0</v>
      </c>
      <c r="P524" s="412">
        <v>4.0</v>
      </c>
      <c r="Q524" s="21" t="s">
        <v>1237</v>
      </c>
    </row>
    <row r="525">
      <c r="A525" s="107" t="s">
        <v>801</v>
      </c>
      <c r="B525" s="415" t="str">
        <f>HYPERLINK("https://uva.onlinejudge.org/index.php?option=onlinejudge&amp;page=show_problem&amp;problem=61","UVA 125")</f>
        <v>UVA 125</v>
      </c>
      <c r="C525" s="185"/>
      <c r="D525" s="185"/>
      <c r="E525" s="185"/>
      <c r="F525" s="185"/>
      <c r="G525" s="185"/>
      <c r="H525" s="186"/>
      <c r="I525" s="81">
        <f t="shared" si="1"/>
        <v>0</v>
      </c>
      <c r="J525" s="86"/>
      <c r="K525" s="80"/>
      <c r="L525" s="185"/>
      <c r="M525" s="432" t="str">
        <f>HYPERLINK("https://github.com/mostafa-saad/MyCompetitiveProgramming/blob/master/UVA/UVA_125.txt","Sol")</f>
        <v>Sol</v>
      </c>
      <c r="N525" s="412" t="s">
        <v>1523</v>
      </c>
      <c r="O525" s="412">
        <v>68.0</v>
      </c>
      <c r="P525" s="412">
        <v>4.5</v>
      </c>
      <c r="Q525" s="21" t="s">
        <v>1240</v>
      </c>
    </row>
    <row r="526">
      <c r="A526" s="107" t="s">
        <v>799</v>
      </c>
      <c r="B526" s="415" t="str">
        <f>HYPERLINK("https://uva.onlinejudge.org/index.php?option=com_onlinejudge&amp;Itemid=8&amp;page=show_problem&amp;problem=475","UVA 534")</f>
        <v>UVA 534</v>
      </c>
      <c r="C526" s="185"/>
      <c r="D526" s="185"/>
      <c r="E526" s="185"/>
      <c r="F526" s="185"/>
      <c r="G526" s="185"/>
      <c r="H526" s="186"/>
      <c r="I526" s="81">
        <f t="shared" si="1"/>
        <v>0</v>
      </c>
      <c r="J526" s="86"/>
      <c r="K526" s="80"/>
      <c r="L526" s="185"/>
      <c r="M526" s="432" t="str">
        <f>HYPERLINK("https://github.com/ilyesG/Competitive-Programming/blob/master/UVA/UVA%20534.cpp","Sol")</f>
        <v>Sol</v>
      </c>
      <c r="N526" s="412" t="s">
        <v>1524</v>
      </c>
      <c r="O526" s="412">
        <v>68.0</v>
      </c>
      <c r="P526" s="412">
        <v>4.5</v>
      </c>
      <c r="Q526" s="21" t="s">
        <v>1262</v>
      </c>
    </row>
    <row r="527">
      <c r="A527" s="107" t="s">
        <v>1028</v>
      </c>
      <c r="B527" s="415" t="str">
        <f>HYPERLINK("https://uva.onlinejudge.org/index.php?option=onlinejudge&amp;page=show_problem&amp;problem=1757","UVA 10816")</f>
        <v>UVA 10816</v>
      </c>
      <c r="C527" s="185"/>
      <c r="D527" s="185"/>
      <c r="E527" s="185"/>
      <c r="F527" s="185"/>
      <c r="G527" s="185"/>
      <c r="H527" s="186"/>
      <c r="I527" s="81">
        <f t="shared" si="1"/>
        <v>0</v>
      </c>
      <c r="J527" s="86"/>
      <c r="K527" s="80"/>
      <c r="L527" s="434"/>
      <c r="M527" s="432" t="str">
        <f>HYPERLINK("https://github.com/VAMPIER000001/CompetitiveProgramming/blob/master/UVA/V-108/UVA%2010816.Cpp","Sol")</f>
        <v>Sol</v>
      </c>
      <c r="N527" s="412" t="s">
        <v>1525</v>
      </c>
      <c r="O527" s="412">
        <v>68.0</v>
      </c>
      <c r="P527" s="412">
        <v>4.5</v>
      </c>
    </row>
    <row r="528">
      <c r="A528" s="107" t="s">
        <v>800</v>
      </c>
      <c r="B528" s="415" t="str">
        <f>HYPERLINK("https://uva.onlinejudge.org/index.php?option=com_onlinejudge&amp;Itemid=8&amp;page=show_problem&amp;problem=270","UVA 334")</f>
        <v>UVA 334</v>
      </c>
      <c r="C528" s="185"/>
      <c r="D528" s="185"/>
      <c r="E528" s="185"/>
      <c r="F528" s="185"/>
      <c r="G528" s="185"/>
      <c r="H528" s="186"/>
      <c r="I528" s="81">
        <f t="shared" si="1"/>
        <v>0</v>
      </c>
      <c r="J528" s="86"/>
      <c r="K528" s="80"/>
      <c r="L528" s="185"/>
      <c r="M528" s="428"/>
      <c r="N528" s="412" t="s">
        <v>1526</v>
      </c>
      <c r="O528" s="412">
        <v>68.0</v>
      </c>
      <c r="P528" s="412">
        <v>4.5</v>
      </c>
    </row>
    <row r="529">
      <c r="A529" s="107" t="s">
        <v>1036</v>
      </c>
      <c r="B529" s="415" t="str">
        <f>HYPERLINK("http://codeforces.com/contest/296/problem/D","CF296-D2-D")</f>
        <v>CF296-D2-D</v>
      </c>
      <c r="C529" s="185"/>
      <c r="D529" s="185"/>
      <c r="E529" s="185"/>
      <c r="F529" s="185"/>
      <c r="G529" s="185"/>
      <c r="H529" s="186"/>
      <c r="I529" s="81">
        <f t="shared" si="1"/>
        <v>0</v>
      </c>
      <c r="J529" s="86"/>
      <c r="K529" s="80"/>
      <c r="L529" s="185"/>
      <c r="M529" s="107"/>
      <c r="N529" s="412" t="s">
        <v>1526</v>
      </c>
      <c r="O529" s="412">
        <v>68.0</v>
      </c>
      <c r="P529" s="412">
        <v>5.0</v>
      </c>
      <c r="Q529" s="21" t="s">
        <v>1235</v>
      </c>
    </row>
    <row r="530">
      <c r="A530" s="107" t="s">
        <v>878</v>
      </c>
      <c r="B530" s="415" t="str">
        <f>HYPERLINK("http://codeforces.com/contest/400/problem/D","CF400-D2-D")</f>
        <v>CF400-D2-D</v>
      </c>
      <c r="C530" s="185"/>
      <c r="D530" s="185"/>
      <c r="E530" s="185"/>
      <c r="F530" s="185"/>
      <c r="G530" s="185"/>
      <c r="H530" s="186"/>
      <c r="I530" s="81">
        <f t="shared" si="1"/>
        <v>0</v>
      </c>
      <c r="J530" s="126"/>
      <c r="K530" s="125"/>
      <c r="L530" s="185"/>
      <c r="M530" s="107"/>
      <c r="N530" s="412" t="s">
        <v>1527</v>
      </c>
      <c r="O530" s="412">
        <v>68.0</v>
      </c>
      <c r="P530" s="412">
        <v>5.0</v>
      </c>
      <c r="Q530" s="21" t="s">
        <v>1235</v>
      </c>
    </row>
    <row r="531">
      <c r="A531" s="107" t="s">
        <v>1190</v>
      </c>
      <c r="B531" s="415" t="str">
        <f>HYPERLINK("http://codeforces.com/contest/189/problem/D","CF189-D2-D")</f>
        <v>CF189-D2-D</v>
      </c>
      <c r="C531" s="185"/>
      <c r="D531" s="185"/>
      <c r="E531" s="185"/>
      <c r="F531" s="185"/>
      <c r="G531" s="185"/>
      <c r="H531" s="186"/>
      <c r="I531" s="81">
        <f t="shared" si="1"/>
        <v>0</v>
      </c>
      <c r="J531" s="120"/>
      <c r="K531" s="185"/>
      <c r="L531" s="434"/>
      <c r="M531" s="321" t="str">
        <f>HYPERLINK("https://github.com/OmarMekkawy/Problems-Solved-Codes/blob/master/CodeForces/189D.cpp","Sol")</f>
        <v>Sol</v>
      </c>
      <c r="N531" s="412" t="s">
        <v>1526</v>
      </c>
      <c r="O531" s="412">
        <v>68.0</v>
      </c>
      <c r="P531" s="412">
        <v>5.25</v>
      </c>
      <c r="Q531" s="21" t="s">
        <v>1262</v>
      </c>
    </row>
    <row r="532">
      <c r="A532" s="107" t="s">
        <v>1210</v>
      </c>
      <c r="B532" s="415" t="str">
        <f>HYPERLINK("https://uva.onlinejudge.org/index.php?option=onlinejudge&amp;page=show_problem&amp;problem=1928","UVA 10987")</f>
        <v>UVA 10987</v>
      </c>
      <c r="C532" s="185"/>
      <c r="D532" s="185"/>
      <c r="E532" s="185"/>
      <c r="F532" s="185"/>
      <c r="G532" s="185"/>
      <c r="H532" s="186"/>
      <c r="I532" s="81">
        <f t="shared" si="1"/>
        <v>0</v>
      </c>
      <c r="J532" s="126"/>
      <c r="K532" s="125"/>
      <c r="L532" s="434"/>
      <c r="M532" s="432" t="str">
        <f>HYPERLINK("https://github.com/abdullaAshraf/Problem-Solving/blob/master/UVA/10987.cpp","Sol")</f>
        <v>Sol</v>
      </c>
      <c r="N532" s="412" t="s">
        <v>1528</v>
      </c>
      <c r="O532" s="412">
        <v>68.0</v>
      </c>
      <c r="P532" s="412">
        <v>5.5</v>
      </c>
      <c r="Q532" s="21" t="s">
        <v>1262</v>
      </c>
    </row>
    <row r="533">
      <c r="A533" s="107" t="s">
        <v>1045</v>
      </c>
      <c r="B533" s="415" t="str">
        <f>HYPERLINK("https://www.youtube.com/watch?v=OWlJ8chpit0","UVA 10448")</f>
        <v>UVA 10448</v>
      </c>
      <c r="C533" s="185"/>
      <c r="D533" s="185"/>
      <c r="E533" s="185"/>
      <c r="F533" s="185"/>
      <c r="G533" s="185"/>
      <c r="H533" s="186"/>
      <c r="I533" s="81">
        <f t="shared" si="1"/>
        <v>0</v>
      </c>
      <c r="J533" s="86"/>
      <c r="K533" s="80"/>
      <c r="L533" s="185"/>
      <c r="M533" s="418" t="str">
        <f>HYPERLINK("https://www.youtube.com/watch?v=OWlJ8chpit0","Video Solution - Dr Mostafa Saad")</f>
        <v>Video Solution - Dr Mostafa Saad</v>
      </c>
      <c r="N533" s="412" t="s">
        <v>1529</v>
      </c>
      <c r="O533" s="412">
        <v>68.0</v>
      </c>
      <c r="P533" s="412">
        <v>5.5</v>
      </c>
      <c r="Q533" s="21" t="s">
        <v>1235</v>
      </c>
    </row>
    <row r="534">
      <c r="A534" s="107" t="s">
        <v>1169</v>
      </c>
      <c r="B534" s="415" t="str">
        <f>HYPERLINK("https://uva.onlinejudge.org/index.php?option=com_onlinejudge&amp;Itemid=8&amp;page=show_problem&amp;problem=40","UVA 104")</f>
        <v>UVA 104</v>
      </c>
      <c r="C534" s="185"/>
      <c r="D534" s="185"/>
      <c r="E534" s="185"/>
      <c r="F534" s="185"/>
      <c r="G534" s="185"/>
      <c r="H534" s="186"/>
      <c r="I534" s="81">
        <f t="shared" si="1"/>
        <v>0</v>
      </c>
      <c r="J534" s="126"/>
      <c r="K534" s="125"/>
      <c r="L534" s="434"/>
      <c r="M534" s="321" t="str">
        <f>HYPERLINK("https://github.com/abdullaAshraf/Problem-Solving/blob/master/UVA/104.cpp","Sol")</f>
        <v>Sol</v>
      </c>
      <c r="N534" s="412" t="s">
        <v>1526</v>
      </c>
      <c r="O534" s="412">
        <v>68.0</v>
      </c>
      <c r="P534" s="412">
        <v>6.25</v>
      </c>
      <c r="Q534" s="21" t="s">
        <v>1235</v>
      </c>
    </row>
    <row r="535">
      <c r="A535" s="107" t="s">
        <v>1077</v>
      </c>
      <c r="B535" s="415" t="str">
        <f>HYPERLINK("http://www.spoj.com/problems/POTHOLE/","SPOJ POTHOLE")</f>
        <v>SPOJ POTHOLE</v>
      </c>
      <c r="C535" s="185"/>
      <c r="D535" s="185"/>
      <c r="E535" s="185"/>
      <c r="F535" s="185"/>
      <c r="G535" s="185"/>
      <c r="H535" s="186"/>
      <c r="I535" s="81">
        <f t="shared" si="1"/>
        <v>0</v>
      </c>
      <c r="J535" s="86"/>
      <c r="K535" s="80"/>
      <c r="L535" s="185"/>
      <c r="M535" s="432" t="str">
        <f>HYPERLINK("https://github.com/BRAINOOOO/CompetitiveProgramming/blob/682cdb2f527d2ab262a9f616687b53a158b281a4/Spoj/SPOJ%20POTHOLE.Cpp","Sol")</f>
        <v>Sol</v>
      </c>
      <c r="N535" s="412" t="s">
        <v>1530</v>
      </c>
      <c r="O535" s="412">
        <v>71.0</v>
      </c>
      <c r="P535" s="412">
        <v>3.0</v>
      </c>
    </row>
    <row r="536">
      <c r="A536" s="107" t="s">
        <v>1078</v>
      </c>
      <c r="B536" s="415" t="str">
        <f>HYPERLINK("https://uva.onlinejudge.org/index.php?option=onlinejudge&amp;page=show_problem&amp;problem=1271","UVA 10330")</f>
        <v>UVA 10330</v>
      </c>
      <c r="C536" s="185"/>
      <c r="D536" s="185"/>
      <c r="E536" s="185"/>
      <c r="F536" s="185"/>
      <c r="G536" s="185"/>
      <c r="H536" s="186"/>
      <c r="I536" s="81">
        <f t="shared" si="1"/>
        <v>0</v>
      </c>
      <c r="J536" s="86"/>
      <c r="K536" s="80"/>
      <c r="L536" s="185"/>
      <c r="M536" s="432" t="str">
        <f>HYPERLINK("https://github.com/ilyesG/Competitive-Programming/blob/master/UVA/UVA%2010330.cpp","Sol")</f>
        <v>Sol</v>
      </c>
      <c r="N536" s="412" t="s">
        <v>1531</v>
      </c>
      <c r="O536" s="412">
        <v>71.0</v>
      </c>
      <c r="P536" s="412">
        <v>4.0</v>
      </c>
    </row>
    <row r="537">
      <c r="A537" s="107" t="s">
        <v>1178</v>
      </c>
      <c r="B537" s="415" t="str">
        <f>HYPERLINK("https://uva.onlinejudge.org/index.php?option=com_onlinejudge&amp;Itemid=8&amp;page=show_problem&amp;problem=1033","UVA 10092")</f>
        <v>UVA 10092</v>
      </c>
      <c r="C537" s="185"/>
      <c r="D537" s="185"/>
      <c r="E537" s="185"/>
      <c r="F537" s="185"/>
      <c r="G537" s="185"/>
      <c r="H537" s="186"/>
      <c r="I537" s="81">
        <f t="shared" si="1"/>
        <v>0</v>
      </c>
      <c r="J537" s="86"/>
      <c r="K537" s="80"/>
      <c r="L537" s="434"/>
      <c r="M537" s="435"/>
      <c r="N537" s="412" t="s">
        <v>1532</v>
      </c>
      <c r="O537" s="412">
        <v>71.0</v>
      </c>
      <c r="P537" s="412">
        <v>4.5</v>
      </c>
      <c r="Q537" s="21" t="s">
        <v>1237</v>
      </c>
    </row>
    <row r="538">
      <c r="A538" s="107" t="s">
        <v>1147</v>
      </c>
      <c r="B538" s="415" t="str">
        <f>HYPERLINK("https://uva.onlinejudge.org/index.php?option=com_onlinejudge&amp;Itemid=8&amp;page=show_problem&amp;problem=504","UVA 563")</f>
        <v>UVA 563</v>
      </c>
      <c r="C538" s="185"/>
      <c r="D538" s="185"/>
      <c r="E538" s="185"/>
      <c r="F538" s="185"/>
      <c r="G538" s="185"/>
      <c r="H538" s="186"/>
      <c r="I538" s="81">
        <f t="shared" si="1"/>
        <v>0</v>
      </c>
      <c r="J538" s="86"/>
      <c r="K538" s="80"/>
      <c r="L538" s="434"/>
      <c r="M538" s="321" t="str">
        <f>HYPERLINK("https://github.com/BRAINOOOO/CompetitiveProgramming/blob/d60a5d1364a8f6aba3cd785c1e5d7825bf3818bc/UVA/UVA%20563.Cpp","Sol")</f>
        <v>Sol</v>
      </c>
      <c r="N538" s="412" t="s">
        <v>1533</v>
      </c>
      <c r="O538" s="412">
        <v>71.0</v>
      </c>
      <c r="P538" s="412">
        <v>5.5</v>
      </c>
      <c r="Q538" s="21" t="s">
        <v>1262</v>
      </c>
    </row>
    <row r="539">
      <c r="A539" s="107" t="s">
        <v>1083</v>
      </c>
      <c r="B539" s="415" t="str">
        <f>HYPERLINK("http://www.spoj.com/problems/IM","SPOJ IM")</f>
        <v>SPOJ IM</v>
      </c>
      <c r="C539" s="185"/>
      <c r="D539" s="185"/>
      <c r="E539" s="185"/>
      <c r="F539" s="185"/>
      <c r="G539" s="185"/>
      <c r="H539" s="186"/>
      <c r="I539" s="81">
        <f t="shared" si="1"/>
        <v>0</v>
      </c>
      <c r="J539" s="86"/>
      <c r="K539" s="80"/>
      <c r="L539" s="185"/>
      <c r="M539" s="432" t="str">
        <f>HYPERLINK("https://github.com/mostafa-saad/MyCompetitiveProgramming/blob/master/SPOJ/SPOJ_IM.txt","Sol")</f>
        <v>Sol</v>
      </c>
      <c r="N539" s="412" t="s">
        <v>1534</v>
      </c>
      <c r="O539" s="412">
        <v>71.0</v>
      </c>
      <c r="P539" s="412">
        <v>5.5</v>
      </c>
      <c r="Q539" s="21" t="s">
        <v>1235</v>
      </c>
    </row>
    <row r="540">
      <c r="A540" s="107" t="s">
        <v>1082</v>
      </c>
      <c r="B540" s="415" t="str">
        <f>HYPERLINK("https://uva.onlinejudge.org/index.php?option=onlinejudge&amp;page=show_problem&amp;problem=694","UVA 753")</f>
        <v>UVA 753</v>
      </c>
      <c r="C540" s="185"/>
      <c r="D540" s="185"/>
      <c r="E540" s="185"/>
      <c r="F540" s="185"/>
      <c r="G540" s="185"/>
      <c r="H540" s="186"/>
      <c r="I540" s="81">
        <f t="shared" si="1"/>
        <v>0</v>
      </c>
      <c r="J540" s="86"/>
      <c r="K540" s="80"/>
      <c r="L540" s="185"/>
      <c r="M540" s="432" t="str">
        <f>HYPERLINK("https://github.com/BRAINOOOO/CompetitiveProgramming/blob/master/UVA/V-7/UVA%20753.Cpp","Sol")</f>
        <v>Sol</v>
      </c>
      <c r="N540" s="412" t="s">
        <v>1535</v>
      </c>
      <c r="O540" s="412">
        <v>71.0</v>
      </c>
      <c r="P540" s="412">
        <v>5.5</v>
      </c>
      <c r="Q540" s="21" t="s">
        <v>1235</v>
      </c>
    </row>
    <row r="541">
      <c r="A541" s="107" t="s">
        <v>1204</v>
      </c>
      <c r="B541" s="415" t="str">
        <f>HYPERLINK("https://uva.onlinejudge.org/index.php?option=com_onlinejudge&amp;Itemid=8&amp;page=show_problem&amp;problem=3277","UVA 12125")</f>
        <v>UVA 12125</v>
      </c>
      <c r="C541" s="185"/>
      <c r="D541" s="185"/>
      <c r="E541" s="185"/>
      <c r="F541" s="185"/>
      <c r="G541" s="185"/>
      <c r="H541" s="186"/>
      <c r="I541" s="81">
        <f t="shared" si="1"/>
        <v>0</v>
      </c>
      <c r="J541" s="86"/>
      <c r="K541" s="80"/>
      <c r="L541" s="434"/>
      <c r="M541" s="321" t="str">
        <f>HYPERLINK("https://github.com/mostafa-saad/MyCompetitiveProgramming/blob/master/UVA/UVA_12125.txt","Sol")</f>
        <v>Sol</v>
      </c>
      <c r="N541" s="412" t="s">
        <v>1531</v>
      </c>
      <c r="O541" s="412">
        <v>71.0</v>
      </c>
      <c r="P541" s="412">
        <v>6.0</v>
      </c>
    </row>
    <row r="542">
      <c r="A542" s="107" t="s">
        <v>1079</v>
      </c>
      <c r="B542" s="415" t="str">
        <f>HYPERLINK("https://uva.onlinejudge.org/index.php?option=com_onlinejudge&amp;Itemid=8&amp;page=show_problem&amp;problem=1021","UVA 10080")</f>
        <v>UVA 10080</v>
      </c>
      <c r="C542" s="185"/>
      <c r="D542" s="185"/>
      <c r="E542" s="185"/>
      <c r="F542" s="185"/>
      <c r="G542" s="185"/>
      <c r="H542" s="186"/>
      <c r="I542" s="81">
        <f t="shared" si="1"/>
        <v>0</v>
      </c>
      <c r="J542" s="86"/>
      <c r="K542" s="80"/>
      <c r="L542" s="185"/>
      <c r="M542" s="432" t="str">
        <f>HYPERLINK("https://github.com/ilyesG/Competitive-Programming/blob/master/UVA/UVA%2010080.cpp","Sol")</f>
        <v>Sol</v>
      </c>
      <c r="N542" s="412" t="s">
        <v>1536</v>
      </c>
      <c r="O542" s="412">
        <v>72.0</v>
      </c>
      <c r="P542" s="412">
        <v>4.0</v>
      </c>
    </row>
    <row r="543">
      <c r="A543" s="107" t="s">
        <v>1080</v>
      </c>
      <c r="B543" s="415" t="str">
        <f>HYPERLINK("https://uva.onlinejudge.org/index.php?option=com_onlinejudge&amp;Itemid=8&amp;page=show_problem&amp;problem=195","UVA 259")</f>
        <v>UVA 259</v>
      </c>
      <c r="C543" s="185"/>
      <c r="D543" s="185"/>
      <c r="E543" s="185"/>
      <c r="F543" s="185"/>
      <c r="G543" s="185"/>
      <c r="H543" s="186"/>
      <c r="I543" s="81">
        <f t="shared" si="1"/>
        <v>0</v>
      </c>
      <c r="J543" s="86"/>
      <c r="K543" s="80"/>
      <c r="L543" s="185"/>
      <c r="M543" s="432" t="str">
        <f>HYPERLINK("https://github.com/mostafa-saad/MyCompetitiveProgramming/blob/master/UVA/UVA_259.txt","Sol")</f>
        <v>Sol</v>
      </c>
      <c r="N543" s="412" t="s">
        <v>1537</v>
      </c>
      <c r="O543" s="412">
        <v>72.0</v>
      </c>
      <c r="P543" s="412">
        <v>4.5</v>
      </c>
    </row>
    <row r="544">
      <c r="A544" s="107"/>
      <c r="B544" s="107" t="s">
        <v>1093</v>
      </c>
      <c r="C544" s="185"/>
      <c r="D544" s="185"/>
      <c r="E544" s="185"/>
      <c r="F544" s="185"/>
      <c r="G544" s="185"/>
      <c r="H544" s="186"/>
      <c r="I544" s="81">
        <f t="shared" si="1"/>
        <v>0</v>
      </c>
      <c r="J544" s="126"/>
      <c r="K544" s="125"/>
      <c r="L544" s="185"/>
      <c r="M544" s="429" t="str">
        <f>HYPERLINK("https://github.com/tanmoy13/CompetitveProgramming/blob/master/Online-Judge-Solutions/UVA/670%20-%20The%20dog%20task.cpp","Sol")</f>
        <v>Sol</v>
      </c>
      <c r="N544" s="412" t="s">
        <v>1536</v>
      </c>
      <c r="O544" s="412">
        <v>72.0</v>
      </c>
      <c r="P544" s="412">
        <v>5.0</v>
      </c>
      <c r="Q544" s="21" t="s">
        <v>1237</v>
      </c>
    </row>
    <row r="545">
      <c r="A545" s="107"/>
      <c r="B545" s="107" t="s">
        <v>1092</v>
      </c>
      <c r="C545" s="185"/>
      <c r="D545" s="185"/>
      <c r="E545" s="185"/>
      <c r="F545" s="185"/>
      <c r="G545" s="185"/>
      <c r="H545" s="186"/>
      <c r="I545" s="81">
        <f t="shared" si="1"/>
        <v>0</v>
      </c>
      <c r="J545" s="126"/>
      <c r="K545" s="125"/>
      <c r="L545" s="185"/>
      <c r="M545" s="429" t="str">
        <f>HYPERLINK("https://github.com/AhmedRamadanAbdElghany/CompetitiveProgramming/blob/master/UVA/1184.cpp","Sol")</f>
        <v>Sol</v>
      </c>
      <c r="N545" s="412" t="s">
        <v>1538</v>
      </c>
      <c r="O545" s="412">
        <v>72.0</v>
      </c>
      <c r="P545" s="412">
        <v>5.0</v>
      </c>
      <c r="Q545" s="21" t="s">
        <v>1235</v>
      </c>
    </row>
    <row r="546">
      <c r="A546" s="107"/>
      <c r="B546" s="107" t="s">
        <v>1084</v>
      </c>
      <c r="C546" s="185"/>
      <c r="D546" s="185"/>
      <c r="E546" s="185"/>
      <c r="F546" s="185"/>
      <c r="G546" s="185"/>
      <c r="H546" s="186"/>
      <c r="I546" s="81">
        <f t="shared" si="1"/>
        <v>0</v>
      </c>
      <c r="J546" s="86"/>
      <c r="K546" s="80"/>
      <c r="L546" s="185"/>
      <c r="M546" s="432" t="str">
        <f>HYPERLINK("https://github.com/ilyesG/Competitive-Programming/blob/master/UVA/UVA%201194.cpp","Sol")</f>
        <v>Sol</v>
      </c>
      <c r="N546" s="412" t="s">
        <v>1539</v>
      </c>
      <c r="O546" s="412">
        <v>72.0</v>
      </c>
      <c r="P546" s="412">
        <v>5.5</v>
      </c>
      <c r="Q546" s="21" t="s">
        <v>1262</v>
      </c>
    </row>
    <row r="547">
      <c r="A547" s="107"/>
      <c r="B547" s="415" t="str">
        <f>HYPERLINK("https://uva.onlinejudge.org/index.php?option=onlinejudge&amp;page=show_problem&amp;problem=1290","UVA 10349")</f>
        <v>UVA 10349</v>
      </c>
      <c r="C547" s="185"/>
      <c r="D547" s="185"/>
      <c r="E547" s="185"/>
      <c r="F547" s="185"/>
      <c r="G547" s="185"/>
      <c r="H547" s="186"/>
      <c r="I547" s="81">
        <f t="shared" si="1"/>
        <v>0</v>
      </c>
      <c r="J547" s="86"/>
      <c r="K547" s="80"/>
      <c r="L547" s="185"/>
      <c r="M547" s="432" t="str">
        <f>HYPERLINK("https://github.com/mostafa-saad/MyCompetitiveProgramming/blob/master/UVA/UVA_10349.txt","Sol - 2 ways")</f>
        <v>Sol - 2 ways</v>
      </c>
      <c r="N547" s="412" t="s">
        <v>1540</v>
      </c>
      <c r="O547" s="412">
        <v>72.0</v>
      </c>
      <c r="P547" s="412">
        <v>5.5</v>
      </c>
      <c r="Q547" s="21" t="s">
        <v>1237</v>
      </c>
    </row>
    <row r="548">
      <c r="A548" s="107"/>
      <c r="B548" s="415" t="str">
        <f>HYPERLINK("https://uva.onlinejudge.org/index.php?option=com_onlinejudge&amp;Itemid=8&amp;page=show_problem&amp;problem=2100","UVA 11159")</f>
        <v>UVA 11159</v>
      </c>
      <c r="C548" s="185"/>
      <c r="D548" s="185"/>
      <c r="E548" s="185"/>
      <c r="F548" s="185"/>
      <c r="G548" s="185"/>
      <c r="H548" s="186"/>
      <c r="I548" s="81">
        <f t="shared" si="1"/>
        <v>0</v>
      </c>
      <c r="J548" s="86"/>
      <c r="K548" s="80"/>
      <c r="L548" s="185"/>
      <c r="M548" s="432" t="str">
        <f>HYPERLINK("https://github.com/mostafa-saad/MyCompetitiveProgramming/blob/master/UVA/UVA_11159.txt","Sol")</f>
        <v>Sol</v>
      </c>
      <c r="N548" s="412" t="s">
        <v>1541</v>
      </c>
      <c r="O548" s="412">
        <v>72.0</v>
      </c>
      <c r="P548" s="412">
        <v>5.5</v>
      </c>
      <c r="Q548" s="21" t="s">
        <v>1237</v>
      </c>
    </row>
    <row r="549">
      <c r="A549" s="107"/>
      <c r="B549" s="107" t="s">
        <v>1081</v>
      </c>
      <c r="C549" s="185"/>
      <c r="D549" s="185"/>
      <c r="E549" s="185"/>
      <c r="F549" s="185"/>
      <c r="G549" s="185"/>
      <c r="H549" s="186"/>
      <c r="I549" s="81">
        <f t="shared" si="1"/>
        <v>0</v>
      </c>
      <c r="J549" s="86"/>
      <c r="K549" s="80"/>
      <c r="L549" s="185"/>
      <c r="M549" s="432" t="str">
        <f>HYPERLINK("https://github.com/BRAINOOOO/CompetitiveProgramming/blob/master/UVA/V-121/UVA%2012168.Cpp","Sol")</f>
        <v>Sol</v>
      </c>
      <c r="N549" s="412" t="s">
        <v>1542</v>
      </c>
      <c r="O549" s="412">
        <v>72.0</v>
      </c>
      <c r="P549" s="412">
        <v>6.0</v>
      </c>
      <c r="Q549" s="21" t="s">
        <v>1237</v>
      </c>
    </row>
    <row r="550">
      <c r="A550" s="107"/>
      <c r="B550" s="107" t="s">
        <v>1145</v>
      </c>
      <c r="C550" s="185"/>
      <c r="D550" s="185"/>
      <c r="E550" s="185"/>
      <c r="F550" s="185"/>
      <c r="G550" s="185"/>
      <c r="H550" s="186"/>
      <c r="I550" s="81">
        <f t="shared" si="1"/>
        <v>0</v>
      </c>
      <c r="J550" s="86"/>
      <c r="K550" s="80"/>
      <c r="L550" s="434"/>
      <c r="M550" s="321" t="str">
        <f>HYPERLINK("https://github.com/BRAINOOOO/CompetitiveProgramming/blob/master/Spoj/SPOJ%20QUEST4.Cpp","Sol")</f>
        <v>Sol</v>
      </c>
      <c r="N550" s="412" t="s">
        <v>1536</v>
      </c>
      <c r="O550" s="412">
        <v>72.0</v>
      </c>
      <c r="P550" s="412">
        <v>6.0</v>
      </c>
      <c r="Q550" s="21" t="s">
        <v>1235</v>
      </c>
    </row>
    <row r="551">
      <c r="A551" s="107"/>
      <c r="B551" s="107" t="s">
        <v>1176</v>
      </c>
      <c r="C551" s="185"/>
      <c r="D551" s="185"/>
      <c r="E551" s="185"/>
      <c r="F551" s="185"/>
      <c r="G551" s="185"/>
      <c r="H551" s="186"/>
      <c r="I551" s="81">
        <f t="shared" si="1"/>
        <v>0</v>
      </c>
      <c r="J551" s="86"/>
      <c r="K551" s="80"/>
      <c r="L551" s="434"/>
      <c r="M551" s="321" t="str">
        <f>HYPERLINK("https://github.com/BRAINOOOO/CompetitiveProgramming/blob/master/UVA/V-6/UVA%20663.Cpp","Sol")</f>
        <v>Sol</v>
      </c>
      <c r="N551" s="412" t="s">
        <v>1536</v>
      </c>
      <c r="O551" s="412">
        <v>72.0</v>
      </c>
      <c r="P551" s="412">
        <v>6.0</v>
      </c>
      <c r="Q551" s="21" t="s">
        <v>1231</v>
      </c>
    </row>
    <row r="552">
      <c r="A552" s="107" t="s">
        <v>1102</v>
      </c>
      <c r="B552" s="415" t="str">
        <f>HYPERLINK("https://uva.onlinejudge.org/index.php?option=onlinejudge&amp;page=show_problem&amp;problem=1421","UVA 10480")</f>
        <v>UVA 10480</v>
      </c>
      <c r="C552" s="185"/>
      <c r="D552" s="185"/>
      <c r="E552" s="185"/>
      <c r="F552" s="185"/>
      <c r="G552" s="185"/>
      <c r="H552" s="186"/>
      <c r="I552" s="81">
        <f t="shared" si="1"/>
        <v>0</v>
      </c>
      <c r="J552" s="86"/>
      <c r="K552" s="80"/>
      <c r="L552" s="185"/>
      <c r="M552" s="321" t="str">
        <f>HYPERLINK("https://github.com/abdullaAshraf/Problem-Solving/blob/master/UVA/10480.cpp","Sol")</f>
        <v>Sol</v>
      </c>
      <c r="N552" s="412" t="s">
        <v>1543</v>
      </c>
      <c r="O552" s="412">
        <v>74.0</v>
      </c>
      <c r="P552" s="412">
        <v>4.5</v>
      </c>
      <c r="Q552" s="21" t="s">
        <v>1231</v>
      </c>
    </row>
    <row r="553">
      <c r="A553" s="107" t="s">
        <v>1116</v>
      </c>
      <c r="B553" s="415" t="str">
        <f>HYPERLINK("http://acm.zju.edu.cn/onlinejudge/showProblem.do?problemCode=2587","ZOJ 2587")</f>
        <v>ZOJ 2587</v>
      </c>
      <c r="C553" s="185"/>
      <c r="D553" s="185"/>
      <c r="E553" s="185"/>
      <c r="F553" s="185"/>
      <c r="G553" s="185"/>
      <c r="H553" s="186"/>
      <c r="I553" s="81">
        <f t="shared" si="1"/>
        <v>0</v>
      </c>
      <c r="J553" s="86"/>
      <c r="K553" s="80"/>
      <c r="L553" s="434"/>
      <c r="M553" s="429" t="str">
        <f>HYPERLINK("https://github.com/WaleedAbdelhakim/Competitive-Programming/blob/master/ZOJ/2587.cpp","Sol")</f>
        <v>Sol</v>
      </c>
      <c r="N553" s="412" t="s">
        <v>1544</v>
      </c>
      <c r="O553" s="412">
        <v>74.0</v>
      </c>
      <c r="P553" s="412">
        <v>5.0</v>
      </c>
      <c r="Q553" s="21" t="s">
        <v>1235</v>
      </c>
    </row>
    <row r="554">
      <c r="A554" s="107" t="s">
        <v>1200</v>
      </c>
      <c r="B554" s="415" t="str">
        <f>HYPERLINK("https://uva.onlinejudge.org/index.php?option=onlinejudge&amp;page=show_problem&amp;problem=2501","UVA 11506")</f>
        <v>UVA 11506</v>
      </c>
      <c r="C554" s="185"/>
      <c r="D554" s="185"/>
      <c r="E554" s="185"/>
      <c r="F554" s="185"/>
      <c r="G554" s="185"/>
      <c r="H554" s="186"/>
      <c r="I554" s="81">
        <f t="shared" si="1"/>
        <v>0</v>
      </c>
      <c r="J554" s="86"/>
      <c r="K554" s="80"/>
      <c r="L554" s="434"/>
      <c r="M554" s="321" t="str">
        <f>HYPERLINK("https://github.com/abdullaAshraf/Problem-Solving/blob/master/UVA/11506.cpp","Sol")</f>
        <v>Sol</v>
      </c>
      <c r="N554" s="412" t="s">
        <v>1545</v>
      </c>
      <c r="O554" s="412">
        <v>74.0</v>
      </c>
      <c r="P554" s="412">
        <v>5.25</v>
      </c>
      <c r="Q554" s="21" t="s">
        <v>1237</v>
      </c>
    </row>
    <row r="555">
      <c r="A555" s="415" t="str">
        <f>HYPERLINK("https://community.topcoder.com/stat?c=problem_statement&amp;pm=10580","PeopleYouMayKnow")</f>
        <v>PeopleYouMayKnow</v>
      </c>
      <c r="B555" s="107" t="s">
        <v>1205</v>
      </c>
      <c r="C555" s="185"/>
      <c r="D555" s="185"/>
      <c r="E555" s="185"/>
      <c r="F555" s="185"/>
      <c r="G555" s="185"/>
      <c r="H555" s="186"/>
      <c r="I555" s="81">
        <f t="shared" si="1"/>
        <v>0</v>
      </c>
      <c r="J555" s="86"/>
      <c r="K555" s="80"/>
      <c r="L555" s="434"/>
      <c r="M555" s="432" t="str">
        <f>HYPERLINK("https://github.com/MohamedNabil97/CompetitiveProgramming/blob/master/TopCoder/SRM447-D1-500.cpp","Don't use DP. Check it later in editorial. Sol")</f>
        <v>Don't use DP. Check it later in editorial. Sol</v>
      </c>
      <c r="N555" s="412" t="s">
        <v>1546</v>
      </c>
      <c r="O555" s="412">
        <v>74.0</v>
      </c>
      <c r="P555" s="412">
        <v>5.5</v>
      </c>
      <c r="Q555" s="21" t="s">
        <v>1237</v>
      </c>
    </row>
    <row r="556">
      <c r="A556" s="107"/>
      <c r="B556" s="107" t="s">
        <v>1159</v>
      </c>
      <c r="C556" s="185"/>
      <c r="D556" s="185"/>
      <c r="E556" s="185"/>
      <c r="F556" s="185"/>
      <c r="G556" s="185"/>
      <c r="H556" s="186"/>
      <c r="I556" s="81">
        <f t="shared" si="1"/>
        <v>0</v>
      </c>
      <c r="J556" s="86"/>
      <c r="K556" s="80"/>
      <c r="L556" s="434"/>
      <c r="M556" s="321" t="str">
        <f>HYPERLINK("https://github.com/Huvok/CompetitiveProgramming/blob/master/SPOJ/COCONUTS.cpp","Sol")</f>
        <v>Sol</v>
      </c>
      <c r="N556" s="412" t="s">
        <v>1547</v>
      </c>
      <c r="O556" s="412">
        <v>74.0</v>
      </c>
      <c r="P556" s="412">
        <v>6.0</v>
      </c>
      <c r="Q556" s="21" t="s">
        <v>1237</v>
      </c>
    </row>
    <row r="557">
      <c r="A557" s="107"/>
      <c r="B557" s="107" t="s">
        <v>1127</v>
      </c>
      <c r="C557" s="185"/>
      <c r="D557" s="185"/>
      <c r="E557" s="185"/>
      <c r="F557" s="185"/>
      <c r="G557" s="185"/>
      <c r="H557" s="186"/>
      <c r="I557" s="81">
        <f t="shared" si="1"/>
        <v>0</v>
      </c>
      <c r="J557" s="120"/>
      <c r="K557" s="185"/>
      <c r="L557" s="434"/>
      <c r="M557" s="321" t="str">
        <f>HYPERLINK("https://github.com/yazanKabbany/CompetitiveProgramming/blob/master/Topcoder/SRM465-D1-500.cpp","Sol")</f>
        <v>Sol</v>
      </c>
      <c r="N557" s="412" t="s">
        <v>1547</v>
      </c>
      <c r="O557" s="412">
        <v>74.0</v>
      </c>
      <c r="P557" s="412">
        <v>6.25</v>
      </c>
      <c r="Q557" s="21" t="s">
        <v>1237</v>
      </c>
    </row>
    <row r="558">
      <c r="A558" s="107" t="s">
        <v>467</v>
      </c>
      <c r="B558" s="415" t="str">
        <f>HYPERLINK("https://uva.onlinejudge.org/index.php?option=com_onlinejudge&amp;Itemid=8&amp;page=show_problem&amp;problem=1088","UVA 10147")</f>
        <v>UVA 10147</v>
      </c>
      <c r="C558" s="185"/>
      <c r="D558" s="185"/>
      <c r="E558" s="185"/>
      <c r="F558" s="185"/>
      <c r="G558" s="185"/>
      <c r="H558" s="186"/>
      <c r="I558" s="81">
        <f t="shared" si="1"/>
        <v>0</v>
      </c>
      <c r="J558" s="86"/>
      <c r="K558" s="80"/>
      <c r="L558" s="185"/>
      <c r="M558" s="219" t="str">
        <f>HYPERLINK("https://www.youtube.com/watch?v=yNkLz4OVXtI","Video Solution - Eng Mahmoud Adel")</f>
        <v>Video Solution - Eng Mahmoud Adel</v>
      </c>
      <c r="N558" s="412" t="s">
        <v>1548</v>
      </c>
      <c r="O558" s="412">
        <v>76.0</v>
      </c>
      <c r="P558" s="412">
        <v>3.0</v>
      </c>
    </row>
    <row r="559">
      <c r="A559" s="107" t="s">
        <v>735</v>
      </c>
      <c r="B559" s="415" t="str">
        <f>HYPERLINK("https://uva.onlinejudge.org/index.php?option=onlinejudge&amp;page=show_problem&amp;problem=1403","UVA 10462")</f>
        <v>UVA 10462</v>
      </c>
      <c r="C559" s="185"/>
      <c r="D559" s="185"/>
      <c r="E559" s="185"/>
      <c r="F559" s="185"/>
      <c r="G559" s="185"/>
      <c r="H559" s="186"/>
      <c r="I559" s="81">
        <f t="shared" si="1"/>
        <v>0</v>
      </c>
      <c r="J559" s="120"/>
      <c r="K559" s="185"/>
      <c r="L559" s="185"/>
      <c r="M559" s="259" t="s">
        <v>625</v>
      </c>
      <c r="N559" s="412" t="s">
        <v>1549</v>
      </c>
      <c r="O559" s="412">
        <v>76.0</v>
      </c>
      <c r="P559" s="412">
        <v>3.0</v>
      </c>
    </row>
    <row r="560">
      <c r="A560" s="107"/>
      <c r="B560" s="107" t="s">
        <v>585</v>
      </c>
      <c r="C560" s="185"/>
      <c r="D560" s="185"/>
      <c r="E560" s="185"/>
      <c r="F560" s="185"/>
      <c r="G560" s="185"/>
      <c r="H560" s="186"/>
      <c r="I560" s="81">
        <f t="shared" si="1"/>
        <v>0</v>
      </c>
      <c r="J560" s="126"/>
      <c r="K560" s="125"/>
      <c r="L560" s="185"/>
      <c r="M560" s="432" t="str">
        <f>HYPERLINK("https://www.geeksforgeeks.org/total-number-spanning-trees-graph/","Theory result to read")</f>
        <v>Theory result to read</v>
      </c>
      <c r="N560" s="412" t="s">
        <v>1550</v>
      </c>
      <c r="O560" s="412">
        <v>76.0</v>
      </c>
      <c r="P560" s="412">
        <v>4.0</v>
      </c>
      <c r="Q560" s="21" t="s">
        <v>1235</v>
      </c>
    </row>
    <row r="561">
      <c r="A561" s="107" t="s">
        <v>468</v>
      </c>
      <c r="B561" s="415" t="str">
        <f>HYPERLINK("https://uva.onlinejudge.org/index.php?option=com_onlinejudge&amp;Itemid=8&amp;page=show_problem&amp;problem=1541","UVA 10600")</f>
        <v>UVA 10600</v>
      </c>
      <c r="C561" s="185"/>
      <c r="D561" s="185"/>
      <c r="E561" s="185"/>
      <c r="F561" s="185"/>
      <c r="G561" s="185"/>
      <c r="H561" s="186"/>
      <c r="I561" s="81">
        <f t="shared" si="1"/>
        <v>0</v>
      </c>
      <c r="J561" s="86"/>
      <c r="K561" s="80"/>
      <c r="L561" s="185"/>
      <c r="M561" s="219" t="str">
        <f>HYPERLINK("https://www.youtube.com/watch?v=94EApxauQQE&amp;feature=youtu.be","Video Solution - Eng Moaz Rashad")</f>
        <v>Video Solution - Eng Moaz Rashad</v>
      </c>
      <c r="N561" s="412" t="s">
        <v>1549</v>
      </c>
      <c r="O561" s="412">
        <v>76.0</v>
      </c>
      <c r="P561" s="412">
        <v>4.5</v>
      </c>
      <c r="Q561" s="21" t="s">
        <v>1231</v>
      </c>
    </row>
    <row r="562">
      <c r="A562" s="415" t="str">
        <f>HYPERLINK("https://community.topcoder.com/stat?c=problem_statement&amp;pm=11049&amp;rd=14245","TimeTravellingSalesman")</f>
        <v>TimeTravellingSalesman</v>
      </c>
      <c r="B562" s="107" t="s">
        <v>1203</v>
      </c>
      <c r="C562" s="185"/>
      <c r="D562" s="185"/>
      <c r="E562" s="185"/>
      <c r="F562" s="185"/>
      <c r="G562" s="185"/>
      <c r="H562" s="186"/>
      <c r="I562" s="81">
        <f t="shared" si="1"/>
        <v>0</v>
      </c>
      <c r="J562" s="86"/>
      <c r="K562" s="80"/>
      <c r="L562" s="434"/>
      <c r="M562" s="435"/>
      <c r="N562" s="412" t="s">
        <v>1548</v>
      </c>
      <c r="O562" s="412">
        <v>76.0</v>
      </c>
      <c r="P562" s="412">
        <v>5.0</v>
      </c>
      <c r="Q562" s="21" t="s">
        <v>1237</v>
      </c>
    </row>
    <row r="563">
      <c r="A563" s="107"/>
      <c r="B563" s="415" t="str">
        <f>HYPERLINK("http://codeforces.com/contest/472/problem/D","CF472-D12-D")</f>
        <v>CF472-D12-D</v>
      </c>
      <c r="C563" s="185"/>
      <c r="D563" s="185"/>
      <c r="E563" s="185"/>
      <c r="F563" s="185"/>
      <c r="G563" s="185"/>
      <c r="H563" s="186"/>
      <c r="I563" s="81">
        <f t="shared" si="1"/>
        <v>0</v>
      </c>
      <c r="J563" s="126"/>
      <c r="K563" s="125"/>
      <c r="L563" s="185"/>
      <c r="M563" s="435"/>
      <c r="N563" s="412" t="s">
        <v>1551</v>
      </c>
      <c r="O563" s="412">
        <v>76.0</v>
      </c>
      <c r="P563" s="412">
        <v>5.0</v>
      </c>
      <c r="Q563" s="21" t="s">
        <v>1237</v>
      </c>
    </row>
    <row r="564">
      <c r="A564" s="107" t="s">
        <v>1181</v>
      </c>
      <c r="B564" s="415" t="str">
        <f>HYPERLINK("https://uva.onlinejudge.org/index.php?option=com_onlinejudge&amp;Itemid=8&amp;page=show_problem&amp;problem=3675","UVA 1234")</f>
        <v>UVA 1234</v>
      </c>
      <c r="C564" s="185"/>
      <c r="D564" s="185"/>
      <c r="E564" s="185"/>
      <c r="F564" s="185"/>
      <c r="G564" s="185"/>
      <c r="H564" s="186"/>
      <c r="I564" s="81">
        <f t="shared" si="1"/>
        <v>0</v>
      </c>
      <c r="J564" s="86"/>
      <c r="K564" s="80"/>
      <c r="L564" s="434"/>
      <c r="M564" s="321" t="str">
        <f>HYPERLINK("https://github.com/MohamedNabil97/CompetitiveProgramming/tree/master/UVA/1234.cpp","Sol")</f>
        <v>Sol</v>
      </c>
      <c r="N564" s="412" t="s">
        <v>1552</v>
      </c>
      <c r="O564" s="412">
        <v>76.0</v>
      </c>
      <c r="P564" s="412">
        <v>5.0</v>
      </c>
      <c r="Q564" s="21" t="s">
        <v>1235</v>
      </c>
    </row>
    <row r="565">
      <c r="A565" s="107" t="s">
        <v>470</v>
      </c>
      <c r="B565" s="415" t="str">
        <f>HYPERLINK("https://uva.onlinejudge.org/index.php?option=com_onlinejudge&amp;Itemid=8&amp;page=show_problem&amp;problem=1310","UVA 10369")</f>
        <v>UVA 10369</v>
      </c>
      <c r="C565" s="185"/>
      <c r="D565" s="185"/>
      <c r="E565" s="185"/>
      <c r="F565" s="185"/>
      <c r="G565" s="185"/>
      <c r="H565" s="186"/>
      <c r="I565" s="81">
        <f t="shared" si="1"/>
        <v>0</v>
      </c>
      <c r="J565" s="86"/>
      <c r="K565" s="80"/>
      <c r="L565" s="185"/>
      <c r="M565" s="257"/>
      <c r="N565" s="412" t="s">
        <v>1553</v>
      </c>
      <c r="O565" s="412">
        <v>76.0</v>
      </c>
      <c r="P565" s="412">
        <v>5.0</v>
      </c>
      <c r="Q565" s="21" t="s">
        <v>1235</v>
      </c>
    </row>
    <row r="566">
      <c r="A566" s="415" t="str">
        <f>HYPERLINK("https://community.topcoder.com/stat?c=problem_statement&amp;pm=11282&amp;rd=14724","KingdomReorganization")</f>
        <v>KingdomReorganization</v>
      </c>
      <c r="B566" s="107" t="s">
        <v>1177</v>
      </c>
      <c r="C566" s="185"/>
      <c r="D566" s="185"/>
      <c r="E566" s="185"/>
      <c r="F566" s="185"/>
      <c r="G566" s="185"/>
      <c r="H566" s="186"/>
      <c r="I566" s="81">
        <f t="shared" si="1"/>
        <v>0</v>
      </c>
      <c r="J566" s="86"/>
      <c r="K566" s="80"/>
      <c r="L566" s="434"/>
      <c r="M566" s="435"/>
      <c r="N566" s="412" t="s">
        <v>1548</v>
      </c>
      <c r="O566" s="412">
        <v>76.0</v>
      </c>
      <c r="P566" s="412">
        <v>5.0</v>
      </c>
      <c r="Q566" s="21" t="s">
        <v>1231</v>
      </c>
    </row>
    <row r="567">
      <c r="A567" s="107" t="s">
        <v>977</v>
      </c>
      <c r="B567" s="415" t="str">
        <f>HYPERLINK("http://codeforces.com/contest/606/problem/D","CF606-D2-D")</f>
        <v>CF606-D2-D</v>
      </c>
      <c r="C567" s="185"/>
      <c r="D567" s="185"/>
      <c r="E567" s="185"/>
      <c r="F567" s="185"/>
      <c r="G567" s="185"/>
      <c r="H567" s="186"/>
      <c r="I567" s="81">
        <f t="shared" si="1"/>
        <v>0</v>
      </c>
      <c r="J567" s="126"/>
      <c r="K567" s="125"/>
      <c r="L567" s="185"/>
      <c r="M567" s="430"/>
      <c r="N567" s="412" t="s">
        <v>1548</v>
      </c>
      <c r="O567" s="412">
        <v>76.0</v>
      </c>
      <c r="P567" s="412">
        <v>5.0</v>
      </c>
    </row>
    <row r="568">
      <c r="A568" s="415" t="str">
        <f>HYPERLINK("https://community.topcoder.com/stat?c=problem_statement&amp;pm=10750&amp;rd=14153","ActivateGame")</f>
        <v>ActivateGame</v>
      </c>
      <c r="B568" s="107" t="s">
        <v>1182</v>
      </c>
      <c r="C568" s="185"/>
      <c r="D568" s="185"/>
      <c r="E568" s="185"/>
      <c r="F568" s="185"/>
      <c r="G568" s="185"/>
      <c r="H568" s="186"/>
      <c r="I568" s="81">
        <f t="shared" si="1"/>
        <v>0</v>
      </c>
      <c r="J568" s="86"/>
      <c r="K568" s="80"/>
      <c r="L568" s="434"/>
      <c r="M568" s="435"/>
      <c r="N568" s="412" t="s">
        <v>1548</v>
      </c>
      <c r="O568" s="412">
        <v>76.0</v>
      </c>
      <c r="P568" s="412">
        <v>5.25</v>
      </c>
    </row>
    <row r="569">
      <c r="A569" s="107" t="s">
        <v>1180</v>
      </c>
      <c r="B569" s="415" t="str">
        <f>HYPERLINK("https://icpcarchive.ecs.baylor.edu/index.php?option=onlinejudge&amp;page=show_problem&amp;problem=2327","LIVEARCHIVE 4326")</f>
        <v>LIVEARCHIVE 4326</v>
      </c>
      <c r="C569" s="185"/>
      <c r="D569" s="185"/>
      <c r="E569" s="185"/>
      <c r="F569" s="185"/>
      <c r="G569" s="185"/>
      <c r="H569" s="186"/>
      <c r="I569" s="81">
        <f t="shared" si="1"/>
        <v>0</v>
      </c>
      <c r="J569" s="86"/>
      <c r="K569" s="80"/>
      <c r="L569" s="434"/>
      <c r="M569" s="435"/>
      <c r="N569" s="412" t="s">
        <v>1554</v>
      </c>
      <c r="O569" s="412">
        <v>76.0</v>
      </c>
      <c r="P569" s="412">
        <v>6.0</v>
      </c>
    </row>
    <row r="570">
      <c r="A570" s="107" t="s">
        <v>1097</v>
      </c>
      <c r="B570" s="415" t="str">
        <f>HYPERLINK("http://www.spoj.com/problems/BOTTOM/","SPOJ BOTTOM")</f>
        <v>SPOJ BOTTOM</v>
      </c>
      <c r="C570" s="185"/>
      <c r="D570" s="185"/>
      <c r="E570" s="185"/>
      <c r="F570" s="185"/>
      <c r="G570" s="185"/>
      <c r="H570" s="186"/>
      <c r="I570" s="81">
        <f t="shared" si="1"/>
        <v>0</v>
      </c>
      <c r="J570" s="86"/>
      <c r="K570" s="80"/>
      <c r="L570" s="185"/>
      <c r="M570" s="321" t="str">
        <f>HYPERLINK("https://github.com/BRAINOOOO/CompetitiveProgramming/blob/master/Spoj/SPOJ%20BOTTOM.Cpp","Sol")</f>
        <v>Sol</v>
      </c>
      <c r="N570" s="412" t="s">
        <v>1555</v>
      </c>
      <c r="O570" s="412">
        <v>77.0</v>
      </c>
      <c r="P570" s="412">
        <v>3.0</v>
      </c>
    </row>
    <row r="571">
      <c r="A571" s="107" t="s">
        <v>1098</v>
      </c>
      <c r="B571" s="415" t="str">
        <f>HYPERLINK("https://uva.onlinejudge.org/index.php?option=onlinejudge&amp;page=show_problem&amp;problem=1672","UVA 10731")</f>
        <v>UVA 10731</v>
      </c>
      <c r="C571" s="185"/>
      <c r="D571" s="185"/>
      <c r="E571" s="185"/>
      <c r="F571" s="185"/>
      <c r="G571" s="185"/>
      <c r="H571" s="186"/>
      <c r="I571" s="81">
        <f t="shared" si="1"/>
        <v>0</v>
      </c>
      <c r="J571" s="126"/>
      <c r="K571" s="125"/>
      <c r="L571" s="185"/>
      <c r="M571" s="321" t="str">
        <f>HYPERLINK("https://github.com/goar5670/CompetitiveProgramming/blob/master/UVA%2010731.cpp","Sol")</f>
        <v>Sol</v>
      </c>
      <c r="N571" s="412" t="s">
        <v>1555</v>
      </c>
      <c r="O571" s="412">
        <v>77.0</v>
      </c>
      <c r="P571" s="412">
        <v>3.5</v>
      </c>
    </row>
    <row r="572">
      <c r="A572" s="107" t="s">
        <v>1123</v>
      </c>
      <c r="B572" s="415" t="str">
        <f>HYPERLINK("https://uva.onlinejudge.org/index.php?option=onlinejudge&amp;page=show_problem&amp;problem=2499","UVA 11504")</f>
        <v>UVA 11504</v>
      </c>
      <c r="C572" s="185"/>
      <c r="D572" s="185"/>
      <c r="E572" s="185"/>
      <c r="F572" s="185"/>
      <c r="G572" s="185"/>
      <c r="H572" s="186"/>
      <c r="I572" s="81">
        <f t="shared" si="1"/>
        <v>0</v>
      </c>
      <c r="J572" s="126"/>
      <c r="K572" s="125"/>
      <c r="L572" s="434"/>
      <c r="M572" s="321" t="str">
        <f>HYPERLINK("https://github.com/mostafa-saad/MyCompetitiveProgramming/blob/master/UVA/UVA_11504.txt","Sol")</f>
        <v>Sol</v>
      </c>
      <c r="N572" s="412" t="s">
        <v>1556</v>
      </c>
      <c r="O572" s="412">
        <v>77.0</v>
      </c>
      <c r="P572" s="412">
        <v>4.5</v>
      </c>
      <c r="Q572" s="21" t="s">
        <v>1231</v>
      </c>
    </row>
    <row r="573">
      <c r="A573" s="107"/>
      <c r="B573" s="415" t="str">
        <f>HYPERLINK("http://codeforces.com/contest/467/problem/D","CF467-D2-D")</f>
        <v>CF467-D2-D</v>
      </c>
      <c r="C573" s="185"/>
      <c r="D573" s="185"/>
      <c r="E573" s="185"/>
      <c r="F573" s="185"/>
      <c r="G573" s="185"/>
      <c r="H573" s="186"/>
      <c r="I573" s="81">
        <f t="shared" si="1"/>
        <v>0</v>
      </c>
      <c r="J573" s="120"/>
      <c r="K573" s="185"/>
      <c r="L573" s="185"/>
      <c r="M573" s="435"/>
      <c r="N573" s="412" t="s">
        <v>1557</v>
      </c>
      <c r="O573" s="412">
        <v>77.0</v>
      </c>
      <c r="P573" s="412">
        <v>5.0</v>
      </c>
    </row>
    <row r="574">
      <c r="A574" s="107"/>
      <c r="B574" s="107" t="s">
        <v>1099</v>
      </c>
      <c r="C574" s="185"/>
      <c r="D574" s="185"/>
      <c r="E574" s="185"/>
      <c r="F574" s="185"/>
      <c r="G574" s="185"/>
      <c r="H574" s="186"/>
      <c r="I574" s="81">
        <f t="shared" si="1"/>
        <v>0</v>
      </c>
      <c r="J574" s="120"/>
      <c r="K574" s="185"/>
      <c r="L574" s="185"/>
      <c r="M574" s="435"/>
      <c r="N574" s="412" t="s">
        <v>1558</v>
      </c>
      <c r="O574" s="412">
        <v>77.0</v>
      </c>
      <c r="P574" s="412">
        <v>5.5</v>
      </c>
      <c r="Q574" s="21" t="s">
        <v>1235</v>
      </c>
    </row>
    <row r="575">
      <c r="A575" s="107" t="s">
        <v>1121</v>
      </c>
      <c r="B575" s="415" t="str">
        <f>HYPERLINK("https://uva.onlinejudge.org/index.php?option=com_onlinejudge&amp;Itemid=8&amp;page=show_problem&amp;problem=3319","UVA 12167")</f>
        <v>UVA 12167</v>
      </c>
      <c r="C575" s="185"/>
      <c r="D575" s="185"/>
      <c r="E575" s="185"/>
      <c r="F575" s="185"/>
      <c r="G575" s="185"/>
      <c r="H575" s="186"/>
      <c r="I575" s="81">
        <f t="shared" si="1"/>
        <v>0</v>
      </c>
      <c r="J575" s="86"/>
      <c r="K575" s="80"/>
      <c r="L575" s="434"/>
      <c r="M575" s="321" t="str">
        <f>HYPERLINK("https://github.com/abdullaAshraf/Problem-Solving/blob/master/UVA/12167.cpp","Sol")</f>
        <v>Sol</v>
      </c>
      <c r="N575" s="412" t="s">
        <v>1555</v>
      </c>
      <c r="O575" s="412">
        <v>77.0</v>
      </c>
      <c r="P575" s="412">
        <v>5.5</v>
      </c>
    </row>
    <row r="576">
      <c r="A576" s="107"/>
      <c r="B576" s="107" t="s">
        <v>1104</v>
      </c>
      <c r="C576" s="185"/>
      <c r="D576" s="185"/>
      <c r="E576" s="185"/>
      <c r="F576" s="185"/>
      <c r="G576" s="185"/>
      <c r="H576" s="186"/>
      <c r="I576" s="81">
        <f t="shared" si="1"/>
        <v>0</v>
      </c>
      <c r="J576" s="120"/>
      <c r="K576" s="185"/>
      <c r="L576" s="185"/>
      <c r="M576" s="321" t="str">
        <f>HYPERLINK("https://github.com/mostafa-saad/MyCompetitiveProgramming/blob/master/TopCoder/SRM608-D2-1000.txt","Sol")</f>
        <v>Sol</v>
      </c>
      <c r="N576" s="412" t="s">
        <v>1559</v>
      </c>
      <c r="O576" s="412"/>
      <c r="P576" s="412">
        <v>5.75</v>
      </c>
    </row>
    <row r="577">
      <c r="A577" s="107"/>
      <c r="B577" s="107" t="s">
        <v>1126</v>
      </c>
      <c r="C577" s="185"/>
      <c r="D577" s="185"/>
      <c r="E577" s="185"/>
      <c r="F577" s="185"/>
      <c r="G577" s="185"/>
      <c r="H577" s="186"/>
      <c r="I577" s="81">
        <f t="shared" si="1"/>
        <v>0</v>
      </c>
      <c r="J577" s="120"/>
      <c r="K577" s="185"/>
      <c r="L577" s="434"/>
      <c r="M577" s="435"/>
      <c r="N577" s="412" t="s">
        <v>1560</v>
      </c>
      <c r="O577" s="412">
        <v>77.0</v>
      </c>
      <c r="P577" s="412">
        <v>6.0</v>
      </c>
      <c r="Q577" s="21" t="s">
        <v>1237</v>
      </c>
    </row>
    <row r="578">
      <c r="A578" s="107"/>
      <c r="B578" s="107" t="s">
        <v>1149</v>
      </c>
      <c r="C578" s="185"/>
      <c r="D578" s="185"/>
      <c r="E578" s="185"/>
      <c r="F578" s="185"/>
      <c r="G578" s="185"/>
      <c r="H578" s="186"/>
      <c r="I578" s="81">
        <f t="shared" si="1"/>
        <v>0</v>
      </c>
      <c r="J578" s="86"/>
      <c r="K578" s="80"/>
      <c r="L578" s="434"/>
      <c r="M578" s="435"/>
      <c r="N578" s="412" t="s">
        <v>1561</v>
      </c>
      <c r="O578" s="412">
        <v>77.0</v>
      </c>
      <c r="P578" s="412">
        <v>6.25</v>
      </c>
      <c r="Q578" s="21"/>
    </row>
    <row r="579">
      <c r="A579" s="107"/>
      <c r="B579" s="415" t="str">
        <f>HYPERLINK("http://codeforces.com/contest/403/problem/C","CF403-D1-C")</f>
        <v>CF403-D1-C</v>
      </c>
      <c r="C579" s="185"/>
      <c r="D579" s="185"/>
      <c r="E579" s="185"/>
      <c r="F579" s="185"/>
      <c r="G579" s="185"/>
      <c r="H579" s="186"/>
      <c r="I579" s="81">
        <f t="shared" si="1"/>
        <v>0</v>
      </c>
      <c r="J579" s="86"/>
      <c r="K579" s="80"/>
      <c r="L579" s="434"/>
      <c r="M579" s="435"/>
      <c r="N579" s="412" t="s">
        <v>1562</v>
      </c>
      <c r="O579" s="412">
        <v>77.0</v>
      </c>
      <c r="P579" s="412">
        <v>6.25</v>
      </c>
      <c r="Q579" s="21" t="s">
        <v>1240</v>
      </c>
    </row>
    <row r="580">
      <c r="A580" s="107" t="s">
        <v>414</v>
      </c>
      <c r="B580" s="415" t="str">
        <f>HYPERLINK("http://codeforces.com/contest/810/problem/B","CF810-D2-B")</f>
        <v>CF810-D2-B</v>
      </c>
      <c r="C580" s="185"/>
      <c r="D580" s="185"/>
      <c r="E580" s="185"/>
      <c r="F580" s="185"/>
      <c r="G580" s="185"/>
      <c r="H580" s="186"/>
      <c r="I580" s="81">
        <f t="shared" si="1"/>
        <v>0</v>
      </c>
      <c r="J580" s="86"/>
      <c r="K580" s="80"/>
      <c r="L580" s="185"/>
      <c r="M580" s="418" t="str">
        <f>HYPERLINK("https://www.youtube.com/watch?v=cFqla_dXSBs","Video Solution - Solver to be (Java)")</f>
        <v>Video Solution - Solver to be (Java)</v>
      </c>
      <c r="N580" s="412" t="s">
        <v>1563</v>
      </c>
      <c r="O580" s="412">
        <v>84.0</v>
      </c>
      <c r="P580" s="287">
        <v>2.0</v>
      </c>
      <c r="Q580" s="21" t="s">
        <v>1235</v>
      </c>
    </row>
    <row r="581">
      <c r="A581" s="107" t="s">
        <v>485</v>
      </c>
      <c r="B581" s="415" t="str">
        <f>HYPERLINK("http://codeforces.com/contest/1009/problem/B","CF1009-D12-B")</f>
        <v>CF1009-D12-B</v>
      </c>
      <c r="C581" s="185"/>
      <c r="D581" s="185"/>
      <c r="E581" s="185"/>
      <c r="F581" s="185"/>
      <c r="G581" s="185"/>
      <c r="H581" s="186"/>
      <c r="I581" s="81">
        <f t="shared" si="1"/>
        <v>0</v>
      </c>
      <c r="J581" s="126"/>
      <c r="K581" s="125"/>
      <c r="L581" s="185"/>
      <c r="M581" s="433"/>
      <c r="N581" s="412" t="s">
        <v>1563</v>
      </c>
      <c r="O581" s="412">
        <v>84.0</v>
      </c>
      <c r="P581" s="287">
        <v>2.0</v>
      </c>
    </row>
    <row r="582">
      <c r="A582" s="107" t="s">
        <v>592</v>
      </c>
      <c r="B582" s="415" t="str">
        <f>HYPERLINK("http://codeforces.com/contest/479/problem/B","CF479-D2-B")</f>
        <v>CF479-D2-B</v>
      </c>
      <c r="C582" s="185"/>
      <c r="D582" s="185"/>
      <c r="E582" s="185"/>
      <c r="F582" s="185"/>
      <c r="G582" s="185"/>
      <c r="H582" s="186"/>
      <c r="I582" s="81">
        <f t="shared" si="1"/>
        <v>0</v>
      </c>
      <c r="J582" s="126"/>
      <c r="K582" s="125"/>
      <c r="L582" s="185"/>
      <c r="M582" s="424"/>
      <c r="N582" s="412" t="s">
        <v>1563</v>
      </c>
      <c r="O582" s="412">
        <v>84.0</v>
      </c>
      <c r="P582" s="287">
        <v>2.0</v>
      </c>
    </row>
    <row r="583">
      <c r="A583" s="107" t="s">
        <v>591</v>
      </c>
      <c r="B583" s="415" t="str">
        <f>HYPERLINK("http://codeforces.com/contest/378/problem/B","CF378-D2-B")</f>
        <v>CF378-D2-B</v>
      </c>
      <c r="C583" s="185"/>
      <c r="D583" s="185"/>
      <c r="E583" s="185"/>
      <c r="F583" s="185"/>
      <c r="G583" s="185"/>
      <c r="H583" s="186"/>
      <c r="I583" s="81">
        <f t="shared" si="1"/>
        <v>0</v>
      </c>
      <c r="J583" s="126"/>
      <c r="K583" s="125"/>
      <c r="L583" s="185"/>
      <c r="M583" s="424"/>
      <c r="N583" s="447" t="s">
        <v>1563</v>
      </c>
      <c r="O583" s="447">
        <v>84.0</v>
      </c>
      <c r="P583" s="287">
        <v>2.0</v>
      </c>
    </row>
    <row r="584">
      <c r="A584" s="107" t="s">
        <v>586</v>
      </c>
      <c r="B584" s="415" t="str">
        <f>HYPERLINK("http://codeforces.com/contest/437/problem/B","CF437-D2-B")</f>
        <v>CF437-D2-B</v>
      </c>
      <c r="C584" s="185"/>
      <c r="D584" s="185"/>
      <c r="E584" s="185"/>
      <c r="F584" s="185"/>
      <c r="G584" s="185"/>
      <c r="H584" s="186"/>
      <c r="I584" s="81">
        <f t="shared" si="1"/>
        <v>0</v>
      </c>
      <c r="J584" s="126"/>
      <c r="K584" s="125"/>
      <c r="L584" s="185"/>
      <c r="M584" s="430"/>
      <c r="N584" s="412" t="s">
        <v>1564</v>
      </c>
      <c r="O584" s="412">
        <v>84.0</v>
      </c>
      <c r="P584" s="287">
        <v>2.5</v>
      </c>
    </row>
    <row r="585">
      <c r="A585" s="107" t="s">
        <v>413</v>
      </c>
      <c r="B585" s="415" t="str">
        <f>HYPERLINK("http://codeforces.com/contest/451/problem/B","CF451-D2-B")</f>
        <v>CF451-D2-B</v>
      </c>
      <c r="C585" s="185"/>
      <c r="D585" s="185"/>
      <c r="E585" s="185"/>
      <c r="F585" s="185"/>
      <c r="G585" s="185"/>
      <c r="H585" s="186"/>
      <c r="I585" s="81">
        <f t="shared" si="1"/>
        <v>0</v>
      </c>
      <c r="J585" s="86"/>
      <c r="K585" s="80"/>
      <c r="L585" s="185"/>
      <c r="M585" s="418" t="str">
        <f>HYPERLINK("https://www.youtube.com/watch?v=I_WHkB7Aeeo","Video Solution - Solver to be (Java)")</f>
        <v>Video Solution - Solver to be (Java)</v>
      </c>
      <c r="N585" s="287" t="s">
        <v>1565</v>
      </c>
      <c r="O585" s="287">
        <v>84.0</v>
      </c>
      <c r="P585" s="412">
        <v>2.5</v>
      </c>
      <c r="Q585" s="21" t="s">
        <v>1235</v>
      </c>
    </row>
    <row r="586">
      <c r="A586" s="107" t="s">
        <v>416</v>
      </c>
      <c r="B586" s="415" t="str">
        <f>HYPERLINK("http://codeforces.com/contest/766/problem/B","CF766-D2-B")</f>
        <v>CF766-D2-B</v>
      </c>
      <c r="C586" s="185"/>
      <c r="D586" s="185"/>
      <c r="E586" s="185"/>
      <c r="F586" s="185"/>
      <c r="G586" s="185"/>
      <c r="H586" s="186"/>
      <c r="I586" s="81">
        <f t="shared" si="1"/>
        <v>0</v>
      </c>
      <c r="J586" s="86"/>
      <c r="K586" s="80"/>
      <c r="L586" s="185"/>
      <c r="M586" s="418" t="str">
        <f>HYPERLINK("https://www.youtube.com/watch?v=dCChUGZjaS4","Video Solution - Solver to be (Java)")</f>
        <v>Video Solution - Solver to be (Java)</v>
      </c>
      <c r="N586" s="287" t="s">
        <v>1563</v>
      </c>
      <c r="O586" s="287">
        <v>84.0</v>
      </c>
      <c r="P586" s="412">
        <v>2.5</v>
      </c>
      <c r="Q586" s="21" t="s">
        <v>1237</v>
      </c>
    </row>
    <row r="587">
      <c r="A587" s="107" t="s">
        <v>1059</v>
      </c>
      <c r="B587" s="415" t="str">
        <f>HYPERLINK("http://codeforces.com/contest/265/problem/C","CF265-D2-C")</f>
        <v>CF265-D2-C</v>
      </c>
      <c r="C587" s="185"/>
      <c r="D587" s="185"/>
      <c r="E587" s="185"/>
      <c r="F587" s="185"/>
      <c r="G587" s="185"/>
      <c r="H587" s="186"/>
      <c r="I587" s="81">
        <f t="shared" si="1"/>
        <v>0</v>
      </c>
      <c r="J587" s="126"/>
      <c r="K587" s="125"/>
      <c r="L587" s="185"/>
      <c r="M587" s="107"/>
      <c r="N587" s="412" t="s">
        <v>1566</v>
      </c>
      <c r="O587" s="412">
        <v>84.0</v>
      </c>
      <c r="P587" s="412">
        <v>3.0</v>
      </c>
    </row>
    <row r="588">
      <c r="A588" s="107" t="s">
        <v>1057</v>
      </c>
      <c r="B588" s="415" t="str">
        <f>HYPERLINK("http://codeforces.com/contest/363/problem/C","CF363-D2-C")</f>
        <v>CF363-D2-C</v>
      </c>
      <c r="C588" s="185"/>
      <c r="D588" s="185"/>
      <c r="E588" s="185"/>
      <c r="F588" s="185"/>
      <c r="G588" s="185"/>
      <c r="H588" s="186"/>
      <c r="I588" s="81">
        <f t="shared" si="1"/>
        <v>0</v>
      </c>
      <c r="J588" s="126"/>
      <c r="K588" s="125"/>
      <c r="L588" s="185"/>
      <c r="M588" s="107"/>
      <c r="N588" s="412" t="s">
        <v>1566</v>
      </c>
      <c r="O588" s="412">
        <v>84.0</v>
      </c>
      <c r="P588" s="412">
        <v>3.0</v>
      </c>
    </row>
    <row r="589">
      <c r="A589" s="107" t="s">
        <v>964</v>
      </c>
      <c r="B589" s="415" t="str">
        <f>HYPERLINK("http://codeforces.com/contest/203/problem/C","CF203-D2-C")</f>
        <v>CF203-D2-C</v>
      </c>
      <c r="C589" s="185"/>
      <c r="D589" s="185"/>
      <c r="E589" s="185"/>
      <c r="F589" s="185"/>
      <c r="G589" s="185"/>
      <c r="H589" s="186"/>
      <c r="I589" s="81">
        <f t="shared" si="1"/>
        <v>0</v>
      </c>
      <c r="J589" s="126"/>
      <c r="K589" s="125"/>
      <c r="L589" s="185"/>
      <c r="M589" s="430"/>
      <c r="N589" s="412" t="s">
        <v>1565</v>
      </c>
      <c r="O589" s="412">
        <v>84.0</v>
      </c>
      <c r="P589" s="412">
        <v>3.0</v>
      </c>
    </row>
    <row r="590">
      <c r="A590" s="107" t="s">
        <v>490</v>
      </c>
      <c r="B590" s="415" t="str">
        <f>HYPERLINK("http://codeforces.com/contest/416/problem/C","CF416-D2-C")</f>
        <v>CF416-D2-C</v>
      </c>
      <c r="C590" s="185"/>
      <c r="D590" s="185"/>
      <c r="E590" s="185"/>
      <c r="F590" s="185"/>
      <c r="G590" s="185"/>
      <c r="H590" s="186"/>
      <c r="I590" s="81">
        <f t="shared" si="1"/>
        <v>0</v>
      </c>
      <c r="J590" s="86"/>
      <c r="K590" s="80"/>
      <c r="L590" s="185"/>
      <c r="M590" s="431"/>
      <c r="N590" s="412" t="s">
        <v>1567</v>
      </c>
      <c r="O590" s="412">
        <v>84.0</v>
      </c>
      <c r="P590" s="412">
        <v>3.5</v>
      </c>
      <c r="Q590" s="21" t="s">
        <v>1237</v>
      </c>
    </row>
    <row r="591">
      <c r="A591" s="107" t="s">
        <v>668</v>
      </c>
      <c r="B591" s="415" t="str">
        <f>HYPERLINK("http://codeforces.com/contest/979/problem/B","CF979-D2-B")</f>
        <v>CF979-D2-B</v>
      </c>
      <c r="C591" s="185"/>
      <c r="D591" s="185"/>
      <c r="E591" s="185"/>
      <c r="F591" s="185"/>
      <c r="G591" s="185"/>
      <c r="H591" s="186"/>
      <c r="I591" s="81">
        <f t="shared" si="1"/>
        <v>0</v>
      </c>
      <c r="J591" s="126"/>
      <c r="K591" s="125"/>
      <c r="L591" s="185"/>
      <c r="M591" s="433"/>
      <c r="N591" s="412" t="s">
        <v>1568</v>
      </c>
      <c r="O591" s="412">
        <v>84.0</v>
      </c>
      <c r="P591" s="412">
        <v>3.5</v>
      </c>
      <c r="Q591" s="21" t="s">
        <v>1231</v>
      </c>
    </row>
    <row r="592">
      <c r="A592" s="107" t="s">
        <v>609</v>
      </c>
      <c r="B592" s="415" t="str">
        <f>HYPERLINK("https://uva.onlinejudge.org/index.php?option=onlinejudge&amp;page=show_problem&amp;problem=3276","UVA 12124")</f>
        <v>UVA 12124</v>
      </c>
      <c r="C592" s="185"/>
      <c r="D592" s="185"/>
      <c r="E592" s="185"/>
      <c r="F592" s="185"/>
      <c r="G592" s="185"/>
      <c r="H592" s="186"/>
      <c r="I592" s="81">
        <f t="shared" si="1"/>
        <v>0</v>
      </c>
      <c r="J592" s="86"/>
      <c r="K592" s="80"/>
      <c r="L592" s="185"/>
      <c r="M592" s="432" t="str">
        <f>HYPERLINK("https://github.com/mostafa-saad/MyCompetitiveProgramming/blob/master/UVA/UVA_12124.txt","Sol")</f>
        <v>Sol</v>
      </c>
      <c r="N592" s="412" t="s">
        <v>1569</v>
      </c>
      <c r="O592" s="412">
        <v>84.0</v>
      </c>
      <c r="P592" s="412">
        <v>4.0</v>
      </c>
      <c r="Q592" s="21"/>
    </row>
    <row r="593">
      <c r="A593" s="107"/>
      <c r="B593" s="415" t="str">
        <f>HYPERLINK("https://www.codechef.com/problems/KSUM","CODECHEF KSUM")</f>
        <v>CODECHEF KSUM</v>
      </c>
      <c r="C593" s="185"/>
      <c r="D593" s="185"/>
      <c r="E593" s="185"/>
      <c r="F593" s="185"/>
      <c r="G593" s="185"/>
      <c r="H593" s="186"/>
      <c r="I593" s="81">
        <f t="shared" si="1"/>
        <v>0</v>
      </c>
      <c r="J593" s="126"/>
      <c r="K593" s="125"/>
      <c r="L593" s="185"/>
      <c r="M593" s="424"/>
      <c r="N593" s="412" t="s">
        <v>1570</v>
      </c>
      <c r="O593" s="412">
        <v>84.0</v>
      </c>
      <c r="P593" s="412">
        <v>4.0</v>
      </c>
      <c r="Q593" s="21" t="s">
        <v>1237</v>
      </c>
    </row>
    <row r="594">
      <c r="A594" s="107"/>
      <c r="B594" s="415" t="str">
        <f>HYPERLINK("https://codeforces.com/contest/1064/problem/C","CF1064-D2-C")</f>
        <v>CF1064-D2-C</v>
      </c>
      <c r="C594" s="185"/>
      <c r="D594" s="185"/>
      <c r="E594" s="185"/>
      <c r="F594" s="185"/>
      <c r="G594" s="185"/>
      <c r="H594" s="186"/>
      <c r="I594" s="81">
        <f t="shared" si="1"/>
        <v>0</v>
      </c>
      <c r="J594" s="126"/>
      <c r="K594" s="125"/>
      <c r="L594" s="120"/>
      <c r="M594" s="431"/>
      <c r="N594" s="412" t="s">
        <v>1571</v>
      </c>
      <c r="O594" s="412">
        <v>84.0</v>
      </c>
      <c r="P594" s="412">
        <v>4.0</v>
      </c>
      <c r="Q594" s="21" t="s">
        <v>1237</v>
      </c>
    </row>
    <row r="595">
      <c r="A595" s="107"/>
      <c r="B595" s="415" t="str">
        <f>HYPERLINK("http://codeforces.com/contest/534/problem/D","CF534-D2-D")</f>
        <v>CF534-D2-D</v>
      </c>
      <c r="C595" s="185"/>
      <c r="D595" s="185"/>
      <c r="E595" s="185"/>
      <c r="F595" s="185"/>
      <c r="G595" s="185"/>
      <c r="H595" s="186"/>
      <c r="I595" s="81">
        <f t="shared" si="1"/>
        <v>0</v>
      </c>
      <c r="J595" s="126"/>
      <c r="K595" s="125"/>
      <c r="L595" s="185"/>
      <c r="M595" s="107"/>
      <c r="N595" s="412" t="s">
        <v>1572</v>
      </c>
      <c r="O595" s="412">
        <v>84.0</v>
      </c>
      <c r="P595" s="412">
        <v>4.0</v>
      </c>
      <c r="Q595" s="21" t="s">
        <v>1235</v>
      </c>
    </row>
    <row r="596">
      <c r="A596" s="107"/>
      <c r="B596" s="415" t="str">
        <f>HYPERLINK("http://codeforces.com/contest/1065/problem/C","CF1065-D2-C")</f>
        <v>CF1065-D2-C</v>
      </c>
      <c r="C596" s="185"/>
      <c r="D596" s="185"/>
      <c r="E596" s="185"/>
      <c r="F596" s="185"/>
      <c r="G596" s="185"/>
      <c r="H596" s="186"/>
      <c r="I596" s="81">
        <f t="shared" si="1"/>
        <v>0</v>
      </c>
      <c r="J596" s="86"/>
      <c r="K596" s="80"/>
      <c r="L596" s="185"/>
      <c r="M596" s="436"/>
      <c r="N596" s="412" t="s">
        <v>1563</v>
      </c>
      <c r="O596" s="412">
        <v>84.0</v>
      </c>
      <c r="P596" s="412">
        <v>4.0</v>
      </c>
      <c r="Q596" s="21" t="s">
        <v>1235</v>
      </c>
    </row>
    <row r="597">
      <c r="A597" s="107"/>
      <c r="B597" s="415" t="str">
        <f>HYPERLINK("http://codeforces.com/contest/445/problem/C","CF445-D2-C")</f>
        <v>CF445-D2-C</v>
      </c>
      <c r="C597" s="185"/>
      <c r="D597" s="185"/>
      <c r="E597" s="185"/>
      <c r="F597" s="185"/>
      <c r="G597" s="185"/>
      <c r="H597" s="186"/>
      <c r="I597" s="81">
        <f t="shared" si="1"/>
        <v>0</v>
      </c>
      <c r="J597" s="86"/>
      <c r="K597" s="80"/>
      <c r="L597" s="185"/>
      <c r="M597" s="266"/>
      <c r="N597" s="412" t="s">
        <v>1563</v>
      </c>
      <c r="O597" s="412">
        <v>84.0</v>
      </c>
      <c r="P597" s="412">
        <v>4.0</v>
      </c>
      <c r="Q597" s="21" t="s">
        <v>1235</v>
      </c>
    </row>
    <row r="598">
      <c r="A598" s="107" t="s">
        <v>810</v>
      </c>
      <c r="B598" s="415" t="str">
        <f>HYPERLINK("http://codeforces.com/contest/567/problem/C","CF567-D2-C")</f>
        <v>CF567-D2-C</v>
      </c>
      <c r="C598" s="185"/>
      <c r="D598" s="185"/>
      <c r="E598" s="185"/>
      <c r="F598" s="185"/>
      <c r="G598" s="185"/>
      <c r="H598" s="186"/>
      <c r="I598" s="81">
        <f t="shared" si="1"/>
        <v>0</v>
      </c>
      <c r="J598" s="126"/>
      <c r="K598" s="125"/>
      <c r="L598" s="185"/>
      <c r="M598" s="431"/>
      <c r="N598" s="412" t="s">
        <v>1563</v>
      </c>
      <c r="O598" s="412">
        <v>84.0</v>
      </c>
      <c r="P598" s="412">
        <v>4.0</v>
      </c>
      <c r="Q598" s="21" t="s">
        <v>1235</v>
      </c>
    </row>
    <row r="599">
      <c r="A599" s="107"/>
      <c r="B599" s="107" t="s">
        <v>1012</v>
      </c>
      <c r="C599" s="185"/>
      <c r="D599" s="185"/>
      <c r="E599" s="185"/>
      <c r="F599" s="185"/>
      <c r="G599" s="185"/>
      <c r="H599" s="186"/>
      <c r="I599" s="81">
        <f t="shared" si="1"/>
        <v>0</v>
      </c>
      <c r="J599" s="126"/>
      <c r="K599" s="125"/>
      <c r="L599" s="185"/>
      <c r="M599" s="428"/>
      <c r="N599" s="412" t="s">
        <v>1573</v>
      </c>
      <c r="O599" s="412">
        <v>84.0</v>
      </c>
      <c r="P599" s="412">
        <v>4.0</v>
      </c>
      <c r="Q599" s="21" t="s">
        <v>1235</v>
      </c>
    </row>
    <row r="600">
      <c r="A600" s="107" t="s">
        <v>186</v>
      </c>
      <c r="B600" s="415" t="str">
        <f>HYPERLINK("http://codeforces.com/contest/401/problem/C","CF401-D2-C")</f>
        <v>CF401-D2-C</v>
      </c>
      <c r="C600" s="185"/>
      <c r="D600" s="185"/>
      <c r="E600" s="185"/>
      <c r="F600" s="185"/>
      <c r="G600" s="185"/>
      <c r="H600" s="186"/>
      <c r="I600" s="81">
        <f t="shared" si="1"/>
        <v>0</v>
      </c>
      <c r="J600" s="126"/>
      <c r="K600" s="125"/>
      <c r="L600" s="185"/>
      <c r="M600" s="430"/>
      <c r="N600" s="412" t="s">
        <v>1574</v>
      </c>
      <c r="O600" s="412">
        <v>84.0</v>
      </c>
      <c r="P600" s="412">
        <v>4.0</v>
      </c>
    </row>
    <row r="601">
      <c r="A601" s="107" t="s">
        <v>573</v>
      </c>
      <c r="B601" s="415" t="str">
        <f>HYPERLINK("http://codeforces.com/contest/515/problem/C","CF515-D2-C")</f>
        <v>CF515-D2-C</v>
      </c>
      <c r="C601" s="185"/>
      <c r="D601" s="185"/>
      <c r="E601" s="185"/>
      <c r="F601" s="185"/>
      <c r="G601" s="185"/>
      <c r="H601" s="186"/>
      <c r="I601" s="81">
        <f t="shared" si="1"/>
        <v>0</v>
      </c>
      <c r="J601" s="86"/>
      <c r="K601" s="80"/>
      <c r="L601" s="185"/>
      <c r="M601" s="418" t="str">
        <f>HYPERLINK("https://www.youtube.com/watch?v=QEh0ugyYPUw","Video Solution - Dr Mostafa Saad")</f>
        <v>Video Solution - Dr Mostafa Saad</v>
      </c>
      <c r="N601" s="412" t="s">
        <v>1573</v>
      </c>
      <c r="O601" s="412">
        <v>84.0</v>
      </c>
      <c r="P601" s="412">
        <v>4.0</v>
      </c>
    </row>
    <row r="602">
      <c r="A602" s="107" t="s">
        <v>910</v>
      </c>
      <c r="B602" s="415" t="str">
        <f>HYPERLINK("http://codeforces.com/contest/216/problem/C","CF216-D2-C")</f>
        <v>CF216-D2-C</v>
      </c>
      <c r="C602" s="185"/>
      <c r="D602" s="185"/>
      <c r="E602" s="185"/>
      <c r="F602" s="185"/>
      <c r="G602" s="185"/>
      <c r="H602" s="186"/>
      <c r="I602" s="81">
        <f t="shared" si="1"/>
        <v>0</v>
      </c>
      <c r="J602" s="86"/>
      <c r="K602" s="80"/>
      <c r="L602" s="185"/>
      <c r="M602" s="433"/>
      <c r="N602" s="412" t="s">
        <v>1563</v>
      </c>
      <c r="O602" s="412">
        <v>84.0</v>
      </c>
      <c r="P602" s="412">
        <v>4.0</v>
      </c>
    </row>
    <row r="603">
      <c r="A603" s="107" t="s">
        <v>683</v>
      </c>
      <c r="B603" s="415" t="str">
        <f>HYPERLINK("http://codeforces.com/contest/835/problem/C","CF835-D2-C")</f>
        <v>CF835-D2-C</v>
      </c>
      <c r="C603" s="185"/>
      <c r="D603" s="185"/>
      <c r="E603" s="185"/>
      <c r="F603" s="185"/>
      <c r="G603" s="185"/>
      <c r="H603" s="186"/>
      <c r="I603" s="81">
        <f t="shared" si="1"/>
        <v>0</v>
      </c>
      <c r="J603" s="86"/>
      <c r="K603" s="80"/>
      <c r="L603" s="185"/>
      <c r="M603" s="418" t="str">
        <f>HYPERLINK("https://www.youtube.com/watch?v=McKM0CgVLUM","Video Solution - Solver to be (Java)")</f>
        <v>Video Solution - Solver to be (Java)</v>
      </c>
      <c r="N603" s="412" t="s">
        <v>1575</v>
      </c>
      <c r="O603" s="412">
        <v>84.0</v>
      </c>
      <c r="P603" s="412">
        <v>4.0</v>
      </c>
    </row>
    <row r="604">
      <c r="A604" s="107" t="s">
        <v>491</v>
      </c>
      <c r="B604" s="415" t="str">
        <f>HYPERLINK("http://codeforces.com/contest/492/problem/C","CF492-D2-C")</f>
        <v>CF492-D2-C</v>
      </c>
      <c r="C604" s="185"/>
      <c r="D604" s="185"/>
      <c r="E604" s="185"/>
      <c r="F604" s="185"/>
      <c r="G604" s="185"/>
      <c r="H604" s="186"/>
      <c r="I604" s="81">
        <f t="shared" si="1"/>
        <v>0</v>
      </c>
      <c r="J604" s="86"/>
      <c r="K604" s="80"/>
      <c r="L604" s="185"/>
      <c r="M604" s="431"/>
      <c r="N604" s="412" t="s">
        <v>1565</v>
      </c>
      <c r="O604" s="412">
        <v>84.0</v>
      </c>
      <c r="P604" s="412">
        <v>4.0</v>
      </c>
    </row>
    <row r="605">
      <c r="A605" s="107"/>
      <c r="B605" s="256" t="s">
        <v>641</v>
      </c>
      <c r="C605" s="185"/>
      <c r="D605" s="185"/>
      <c r="E605" s="185"/>
      <c r="F605" s="185"/>
      <c r="G605" s="185"/>
      <c r="H605" s="186"/>
      <c r="I605" s="81">
        <f t="shared" si="1"/>
        <v>0</v>
      </c>
      <c r="J605" s="86"/>
      <c r="K605" s="80"/>
      <c r="L605" s="185"/>
      <c r="M605" s="195" t="s">
        <v>625</v>
      </c>
      <c r="N605" s="412" t="s">
        <v>1576</v>
      </c>
      <c r="O605" s="412">
        <v>84.0</v>
      </c>
      <c r="P605" s="412">
        <v>4.5</v>
      </c>
      <c r="Q605" s="21" t="s">
        <v>1237</v>
      </c>
    </row>
    <row r="606">
      <c r="A606" s="107"/>
      <c r="B606" s="415" t="str">
        <f>HYPERLINK("http://codeforces.com/contest/729/problem/D","CF729-D12-D")</f>
        <v>CF729-D12-D</v>
      </c>
      <c r="C606" s="185"/>
      <c r="D606" s="185"/>
      <c r="E606" s="185"/>
      <c r="F606" s="185"/>
      <c r="G606" s="185"/>
      <c r="H606" s="186"/>
      <c r="I606" s="81">
        <f t="shared" si="1"/>
        <v>0</v>
      </c>
      <c r="J606" s="126"/>
      <c r="K606" s="125"/>
      <c r="L606" s="185"/>
      <c r="M606" s="107"/>
      <c r="N606" s="412" t="s">
        <v>1577</v>
      </c>
      <c r="O606" s="412">
        <v>84.0</v>
      </c>
      <c r="P606" s="412">
        <v>4.5</v>
      </c>
      <c r="Q606" s="21" t="s">
        <v>1235</v>
      </c>
    </row>
    <row r="607">
      <c r="A607" s="107" t="s">
        <v>960</v>
      </c>
      <c r="B607" s="415" t="str">
        <f>HYPERLINK("http://codeforces.com/contest/519/problem/D","CF519-D2-D")</f>
        <v>CF519-D2-D</v>
      </c>
      <c r="C607" s="185"/>
      <c r="D607" s="185"/>
      <c r="E607" s="185"/>
      <c r="F607" s="185"/>
      <c r="G607" s="185"/>
      <c r="H607" s="186"/>
      <c r="I607" s="81">
        <f t="shared" si="1"/>
        <v>0</v>
      </c>
      <c r="J607" s="126"/>
      <c r="K607" s="125"/>
      <c r="L607" s="185"/>
      <c r="M607" s="430"/>
      <c r="N607" s="412" t="s">
        <v>1578</v>
      </c>
      <c r="O607" s="412">
        <v>84.0</v>
      </c>
      <c r="P607" s="412">
        <v>4.5</v>
      </c>
      <c r="Q607" s="21" t="s">
        <v>1235</v>
      </c>
    </row>
    <row r="608">
      <c r="A608" s="107" t="s">
        <v>646</v>
      </c>
      <c r="B608" s="415" t="str">
        <f>HYPERLINK("http://codeforces.com/contest/486/problem/C","CF486-D2-C")</f>
        <v>CF486-D2-C</v>
      </c>
      <c r="C608" s="185"/>
      <c r="D608" s="185"/>
      <c r="E608" s="185"/>
      <c r="F608" s="185"/>
      <c r="G608" s="185"/>
      <c r="H608" s="186"/>
      <c r="I608" s="81">
        <f t="shared" si="1"/>
        <v>0</v>
      </c>
      <c r="J608" s="86"/>
      <c r="K608" s="80"/>
      <c r="L608" s="185"/>
      <c r="M608" s="428"/>
      <c r="N608" s="412" t="s">
        <v>1579</v>
      </c>
      <c r="O608" s="412">
        <v>84.0</v>
      </c>
      <c r="P608" s="412">
        <v>4.5</v>
      </c>
      <c r="Q608" s="21" t="s">
        <v>1235</v>
      </c>
    </row>
    <row r="609">
      <c r="A609" s="107" t="s">
        <v>664</v>
      </c>
      <c r="B609" s="415" t="str">
        <f>HYPERLINK("http://codeforces.com/contest/584/problem/C","CF584-D2-C")</f>
        <v>CF584-D2-C</v>
      </c>
      <c r="C609" s="185"/>
      <c r="D609" s="185"/>
      <c r="E609" s="185"/>
      <c r="F609" s="185"/>
      <c r="G609" s="185"/>
      <c r="H609" s="186"/>
      <c r="I609" s="81">
        <f t="shared" si="1"/>
        <v>0</v>
      </c>
      <c r="J609" s="86"/>
      <c r="K609" s="80"/>
      <c r="L609" s="185"/>
      <c r="M609" s="431"/>
      <c r="N609" s="412" t="s">
        <v>1580</v>
      </c>
      <c r="O609" s="412">
        <v>84.0</v>
      </c>
      <c r="P609" s="412">
        <v>4.5</v>
      </c>
      <c r="Q609" s="21" t="s">
        <v>1231</v>
      </c>
    </row>
    <row r="610">
      <c r="A610" s="107" t="s">
        <v>661</v>
      </c>
      <c r="B610" s="415" t="str">
        <f>HYPERLINK("http://codeforces.com/contest/735/problem/C","CF735-D2-C")</f>
        <v>CF735-D2-C</v>
      </c>
      <c r="C610" s="185"/>
      <c r="D610" s="185"/>
      <c r="E610" s="185"/>
      <c r="F610" s="185"/>
      <c r="G610" s="185"/>
      <c r="H610" s="186"/>
      <c r="I610" s="81">
        <f t="shared" si="1"/>
        <v>0</v>
      </c>
      <c r="J610" s="86"/>
      <c r="K610" s="80"/>
      <c r="L610" s="185"/>
      <c r="M610" s="257"/>
      <c r="N610" s="412" t="s">
        <v>1581</v>
      </c>
      <c r="O610" s="412">
        <v>84.0</v>
      </c>
      <c r="P610" s="412">
        <v>4.5</v>
      </c>
      <c r="Q610" s="21" t="s">
        <v>1231</v>
      </c>
    </row>
    <row r="611">
      <c r="A611" s="107" t="s">
        <v>1198</v>
      </c>
      <c r="B611" s="415" t="str">
        <f>HYPERLINK("http://codeforces.com/contest/508/problem/C","CF508-D2-C")</f>
        <v>CF508-D2-C</v>
      </c>
      <c r="C611" s="185"/>
      <c r="D611" s="185"/>
      <c r="E611" s="185"/>
      <c r="F611" s="185"/>
      <c r="G611" s="185"/>
      <c r="H611" s="186"/>
      <c r="I611" s="81">
        <f t="shared" si="1"/>
        <v>0</v>
      </c>
      <c r="J611" s="126"/>
      <c r="K611" s="125"/>
      <c r="L611" s="434"/>
      <c r="M611" s="435"/>
      <c r="N611" s="412" t="s">
        <v>1563</v>
      </c>
      <c r="O611" s="412">
        <v>84.0</v>
      </c>
      <c r="P611" s="412">
        <v>4.5</v>
      </c>
    </row>
    <row r="612">
      <c r="A612" s="107" t="s">
        <v>771</v>
      </c>
      <c r="B612" s="415" t="str">
        <f>HYPERLINK("http://codeforces.com/contest/148/problem/C","CF148-D2-C")</f>
        <v>CF148-D2-C</v>
      </c>
      <c r="C612" s="185"/>
      <c r="D612" s="185"/>
      <c r="E612" s="185"/>
      <c r="F612" s="185"/>
      <c r="G612" s="185"/>
      <c r="H612" s="186"/>
      <c r="I612" s="81">
        <f t="shared" si="1"/>
        <v>0</v>
      </c>
      <c r="J612" s="86"/>
      <c r="K612" s="80"/>
      <c r="L612" s="120"/>
      <c r="M612" s="219" t="str">
        <f>HYPERLINK("https://www.youtube.com/watch?v=BX2HhPefv6g","Video Solution - Eng Mohamed Nasser")</f>
        <v>Video Solution - Eng Mohamed Nasser</v>
      </c>
      <c r="N612" s="412" t="s">
        <v>1574</v>
      </c>
      <c r="O612" s="412">
        <v>84.0</v>
      </c>
      <c r="P612" s="412">
        <v>4.5</v>
      </c>
    </row>
    <row r="613">
      <c r="A613" s="107" t="s">
        <v>931</v>
      </c>
      <c r="B613" s="415" t="str">
        <f>HYPERLINK("http://codeforces.com/contest/287/problem/C","CF287-D2-C")</f>
        <v>CF287-D2-C</v>
      </c>
      <c r="C613" s="185"/>
      <c r="D613" s="185"/>
      <c r="E613" s="185"/>
      <c r="F613" s="185"/>
      <c r="G613" s="185"/>
      <c r="H613" s="186"/>
      <c r="I613" s="81">
        <f t="shared" si="1"/>
        <v>0</v>
      </c>
      <c r="J613" s="126"/>
      <c r="K613" s="125"/>
      <c r="L613" s="185"/>
      <c r="M613" s="430"/>
      <c r="N613" s="412" t="s">
        <v>1574</v>
      </c>
      <c r="O613" s="412">
        <v>84.0</v>
      </c>
      <c r="P613" s="412">
        <v>4.5</v>
      </c>
    </row>
    <row r="614">
      <c r="A614" s="107" t="s">
        <v>741</v>
      </c>
      <c r="B614" s="415" t="str">
        <f>HYPERLINK("http://codeforces.com/contest/260/problem/C","CF260-D2-C")</f>
        <v>CF260-D2-C</v>
      </c>
      <c r="C614" s="185"/>
      <c r="D614" s="185"/>
      <c r="E614" s="185"/>
      <c r="F614" s="185"/>
      <c r="G614" s="185"/>
      <c r="H614" s="186"/>
      <c r="I614" s="81">
        <f t="shared" si="1"/>
        <v>0</v>
      </c>
      <c r="J614" s="86"/>
      <c r="K614" s="80"/>
      <c r="L614" s="185"/>
      <c r="M614" s="418" t="str">
        <f>HYPERLINK("https://www.youtube.com/watch?v=W3Zp3yqNsOs","Video Solution - Dr Mostafa Saad")</f>
        <v>Video Solution - Dr Mostafa Saad</v>
      </c>
      <c r="N614" s="412" t="s">
        <v>1566</v>
      </c>
      <c r="O614" s="412">
        <v>84.0</v>
      </c>
      <c r="P614" s="412">
        <v>4.5</v>
      </c>
    </row>
    <row r="615">
      <c r="A615" s="107"/>
      <c r="B615" s="415" t="str">
        <f>HYPERLINK("http://codeforces.com/contest/313/problem/C","CF313-D2-C")</f>
        <v>CF313-D2-C</v>
      </c>
      <c r="C615" s="185"/>
      <c r="D615" s="185"/>
      <c r="E615" s="185"/>
      <c r="F615" s="185"/>
      <c r="G615" s="185"/>
      <c r="H615" s="186"/>
      <c r="I615" s="81">
        <f t="shared" si="1"/>
        <v>0</v>
      </c>
      <c r="J615" s="86"/>
      <c r="K615" s="80"/>
      <c r="L615" s="185"/>
      <c r="M615" s="436"/>
      <c r="N615" s="412" t="s">
        <v>1574</v>
      </c>
      <c r="O615" s="412">
        <v>84.0</v>
      </c>
      <c r="P615" s="412">
        <v>5.0</v>
      </c>
      <c r="Q615" s="21"/>
    </row>
    <row r="616">
      <c r="A616" s="107" t="s">
        <v>1139</v>
      </c>
      <c r="B616" s="415" t="str">
        <f>HYPERLINK("http://codeforces.com/contest/402/problem/D","CF402-D2-D")</f>
        <v>CF402-D2-D</v>
      </c>
      <c r="C616" s="185"/>
      <c r="D616" s="185"/>
      <c r="E616" s="185"/>
      <c r="F616" s="185"/>
      <c r="G616" s="185"/>
      <c r="H616" s="186"/>
      <c r="I616" s="81">
        <f t="shared" si="1"/>
        <v>0</v>
      </c>
      <c r="J616" s="86"/>
      <c r="K616" s="80"/>
      <c r="L616" s="434"/>
      <c r="M616" s="430"/>
      <c r="N616" s="412" t="s">
        <v>1582</v>
      </c>
      <c r="O616" s="412">
        <v>84.0</v>
      </c>
      <c r="P616" s="412">
        <v>5.0</v>
      </c>
      <c r="Q616" s="21"/>
    </row>
    <row r="617">
      <c r="A617" s="107"/>
      <c r="B617" s="107" t="s">
        <v>943</v>
      </c>
      <c r="C617" s="185"/>
      <c r="D617" s="185"/>
      <c r="E617" s="185"/>
      <c r="F617" s="185"/>
      <c r="G617" s="185"/>
      <c r="H617" s="186"/>
      <c r="I617" s="81">
        <f t="shared" si="1"/>
        <v>0</v>
      </c>
      <c r="J617" s="86"/>
      <c r="K617" s="80"/>
      <c r="L617" s="185"/>
      <c r="M617" s="435"/>
      <c r="N617" s="412" t="s">
        <v>1583</v>
      </c>
      <c r="O617" s="412">
        <v>84.0</v>
      </c>
      <c r="P617" s="412">
        <v>5.0</v>
      </c>
      <c r="Q617" s="21" t="s">
        <v>1237</v>
      </c>
    </row>
    <row r="618">
      <c r="A618" s="107" t="s">
        <v>995</v>
      </c>
      <c r="B618" s="415" t="str">
        <f>HYPERLINK("http://codeforces.com/contest/94/problem/D","CF94-D2-D")</f>
        <v>CF94-D2-D</v>
      </c>
      <c r="C618" s="185"/>
      <c r="D618" s="185"/>
      <c r="E618" s="185"/>
      <c r="F618" s="185"/>
      <c r="G618" s="185"/>
      <c r="H618" s="186"/>
      <c r="I618" s="81">
        <f t="shared" si="1"/>
        <v>0</v>
      </c>
      <c r="J618" s="86"/>
      <c r="K618" s="80"/>
      <c r="L618" s="185"/>
      <c r="M618" s="428"/>
      <c r="N618" s="412" t="s">
        <v>1584</v>
      </c>
      <c r="O618" s="412">
        <v>84.0</v>
      </c>
      <c r="P618" s="412">
        <v>5.0</v>
      </c>
      <c r="Q618" s="21" t="s">
        <v>1237</v>
      </c>
    </row>
    <row r="619">
      <c r="A619" s="107" t="s">
        <v>649</v>
      </c>
      <c r="B619" s="415" t="str">
        <f>HYPERLINK("http://codeforces.com/contest/141/problem/C","CF141-D2-C")</f>
        <v>CF141-D2-C</v>
      </c>
      <c r="C619" s="185"/>
      <c r="D619" s="185"/>
      <c r="E619" s="185"/>
      <c r="F619" s="185"/>
      <c r="G619" s="185"/>
      <c r="H619" s="186"/>
      <c r="I619" s="81">
        <f t="shared" si="1"/>
        <v>0</v>
      </c>
      <c r="J619" s="86"/>
      <c r="K619" s="80"/>
      <c r="L619" s="185"/>
      <c r="M619" s="257"/>
      <c r="N619" s="412" t="s">
        <v>1574</v>
      </c>
      <c r="O619" s="412">
        <v>84.0</v>
      </c>
      <c r="P619" s="412">
        <v>5.0</v>
      </c>
      <c r="Q619" s="21" t="s">
        <v>1235</v>
      </c>
    </row>
    <row r="620">
      <c r="A620" s="107"/>
      <c r="B620" s="415" t="str">
        <f>HYPERLINK("http://codeforces.com/problemsets/acmsguru/problem/99999/321","SGU 321")</f>
        <v>SGU 321</v>
      </c>
      <c r="C620" s="185"/>
      <c r="D620" s="185"/>
      <c r="E620" s="185"/>
      <c r="F620" s="185"/>
      <c r="G620" s="185"/>
      <c r="H620" s="186"/>
      <c r="I620" s="81">
        <f t="shared" si="1"/>
        <v>0</v>
      </c>
      <c r="J620" s="86"/>
      <c r="K620" s="80"/>
      <c r="L620" s="185"/>
      <c r="M620" s="418" t="str">
        <f>HYPERLINK("https://github.com/mostafa-saad/MyCompetitiveProgramming/blob/master/SGU/SGU_321.txt","Sol")</f>
        <v>Sol</v>
      </c>
      <c r="N620" s="412" t="s">
        <v>1585</v>
      </c>
      <c r="O620" s="412">
        <v>84.0</v>
      </c>
      <c r="P620" s="412">
        <v>5.0</v>
      </c>
      <c r="Q620" s="21" t="s">
        <v>1235</v>
      </c>
    </row>
    <row r="621">
      <c r="A621" s="107" t="s">
        <v>1217</v>
      </c>
      <c r="B621" s="415" t="str">
        <f>HYPERLINK("http://codeforces.com/contest/242/problem/D","CF242-D2-D")</f>
        <v>CF242-D2-D</v>
      </c>
      <c r="C621" s="185"/>
      <c r="D621" s="185"/>
      <c r="E621" s="185"/>
      <c r="F621" s="185"/>
      <c r="G621" s="185"/>
      <c r="H621" s="186"/>
      <c r="I621" s="81">
        <f t="shared" si="1"/>
        <v>0</v>
      </c>
      <c r="J621" s="126"/>
      <c r="K621" s="125"/>
      <c r="L621" s="185"/>
      <c r="M621" s="430"/>
      <c r="N621" s="412" t="s">
        <v>1586</v>
      </c>
      <c r="O621" s="412">
        <v>84.0</v>
      </c>
      <c r="P621" s="412">
        <v>5.0</v>
      </c>
      <c r="Q621" s="21" t="s">
        <v>1235</v>
      </c>
    </row>
    <row r="622">
      <c r="A622" s="107"/>
      <c r="B622" s="107" t="s">
        <v>908</v>
      </c>
      <c r="C622" s="185"/>
      <c r="D622" s="185"/>
      <c r="E622" s="185"/>
      <c r="F622" s="185"/>
      <c r="G622" s="185"/>
      <c r="H622" s="186"/>
      <c r="I622" s="81">
        <f t="shared" si="1"/>
        <v>0</v>
      </c>
      <c r="J622" s="86"/>
      <c r="K622" s="80"/>
      <c r="L622" s="185"/>
      <c r="M622" s="433"/>
      <c r="N622" s="412" t="s">
        <v>1587</v>
      </c>
      <c r="O622" s="412">
        <v>84.0</v>
      </c>
      <c r="P622" s="412">
        <v>5.0</v>
      </c>
      <c r="Q622" s="21" t="s">
        <v>1235</v>
      </c>
    </row>
    <row r="623">
      <c r="A623" s="107"/>
      <c r="B623" s="415" t="str">
        <f>HYPERLINK("http://codeforces.com/contest/1038/problem/D","CF1038-D2-D")</f>
        <v>CF1038-D2-D</v>
      </c>
      <c r="C623" s="185"/>
      <c r="D623" s="185"/>
      <c r="E623" s="185"/>
      <c r="F623" s="185"/>
      <c r="G623" s="185"/>
      <c r="H623" s="186"/>
      <c r="I623" s="81">
        <f t="shared" si="1"/>
        <v>0</v>
      </c>
      <c r="J623" s="126"/>
      <c r="K623" s="125"/>
      <c r="L623" s="185"/>
      <c r="M623" s="430"/>
      <c r="N623" s="412" t="s">
        <v>1566</v>
      </c>
      <c r="O623" s="412">
        <v>84.0</v>
      </c>
      <c r="P623" s="412">
        <v>5.0</v>
      </c>
      <c r="Q623" s="21" t="s">
        <v>1235</v>
      </c>
    </row>
    <row r="624">
      <c r="A624" s="107"/>
      <c r="B624" s="107" t="s">
        <v>922</v>
      </c>
      <c r="C624" s="185"/>
      <c r="D624" s="185"/>
      <c r="E624" s="185"/>
      <c r="F624" s="185"/>
      <c r="G624" s="185"/>
      <c r="H624" s="186"/>
      <c r="I624" s="81">
        <f t="shared" si="1"/>
        <v>0</v>
      </c>
      <c r="J624" s="126"/>
      <c r="K624" s="125"/>
      <c r="L624" s="185"/>
      <c r="M624" s="321" t="str">
        <f>HYPERLINK("https://github.com/yazanKabbany/CompetitiveProgramming/blob/master/UVA/UVA%2012325.cpp","Prove your Solution")</f>
        <v>Prove your Solution</v>
      </c>
      <c r="N624" s="412" t="s">
        <v>1588</v>
      </c>
      <c r="O624" s="412">
        <v>84.0</v>
      </c>
      <c r="P624" s="412">
        <v>5.0</v>
      </c>
      <c r="Q624" s="21" t="s">
        <v>1235</v>
      </c>
    </row>
    <row r="625">
      <c r="A625" s="107"/>
      <c r="B625" s="107" t="s">
        <v>909</v>
      </c>
      <c r="C625" s="185"/>
      <c r="D625" s="185"/>
      <c r="E625" s="185"/>
      <c r="F625" s="185"/>
      <c r="G625" s="185"/>
      <c r="H625" s="186"/>
      <c r="I625" s="81">
        <f t="shared" si="1"/>
        <v>0</v>
      </c>
      <c r="J625" s="86"/>
      <c r="K625" s="80"/>
      <c r="L625" s="185"/>
      <c r="M625" s="433"/>
      <c r="N625" s="412" t="s">
        <v>1589</v>
      </c>
      <c r="O625" s="412">
        <v>84.0</v>
      </c>
      <c r="P625" s="412">
        <v>5.0</v>
      </c>
      <c r="Q625" s="21" t="s">
        <v>1235</v>
      </c>
    </row>
    <row r="626">
      <c r="A626" s="107" t="s">
        <v>1193</v>
      </c>
      <c r="B626" s="415" t="str">
        <f>HYPERLINK("http://codeforces.com/contest/239/problem/D","CF239-D2-D")</f>
        <v>CF239-D2-D</v>
      </c>
      <c r="C626" s="185"/>
      <c r="D626" s="185"/>
      <c r="E626" s="185"/>
      <c r="F626" s="185"/>
      <c r="G626" s="185"/>
      <c r="H626" s="186"/>
      <c r="I626" s="81">
        <f t="shared" si="1"/>
        <v>0</v>
      </c>
      <c r="J626" s="86"/>
      <c r="K626" s="80"/>
      <c r="L626" s="434"/>
      <c r="M626" s="321" t="str">
        <f>HYPERLINK("https://github.com/MedoN11/CompetitiveProgramming/blob/master/CodeForces/CF239-D2-D.java","Sol. Find proof (See editorial comments)")</f>
        <v>Sol. Find proof (See editorial comments)</v>
      </c>
      <c r="N626" s="412" t="s">
        <v>1590</v>
      </c>
      <c r="O626" s="412">
        <v>84.0</v>
      </c>
      <c r="P626" s="412">
        <v>5.0</v>
      </c>
      <c r="Q626" s="21" t="s">
        <v>1235</v>
      </c>
    </row>
    <row r="627">
      <c r="A627" s="107" t="s">
        <v>791</v>
      </c>
      <c r="B627" s="415" t="str">
        <f>HYPERLINK("http://codeforces.com/contest/465/problem/C","CF465-D2-C")</f>
        <v>CF465-D2-C</v>
      </c>
      <c r="C627" s="185"/>
      <c r="D627" s="185"/>
      <c r="E627" s="185"/>
      <c r="F627" s="185"/>
      <c r="G627" s="185"/>
      <c r="H627" s="186"/>
      <c r="I627" s="81">
        <f t="shared" si="1"/>
        <v>0</v>
      </c>
      <c r="J627" s="126"/>
      <c r="K627" s="125"/>
      <c r="L627" s="185"/>
      <c r="M627" s="430"/>
      <c r="N627" s="412" t="s">
        <v>1591</v>
      </c>
      <c r="O627" s="412">
        <v>84.0</v>
      </c>
      <c r="P627" s="412">
        <v>5.0</v>
      </c>
    </row>
    <row r="628">
      <c r="A628" s="107"/>
      <c r="B628" s="415" t="str">
        <f>HYPERLINK("http://codeforces.com/contest/709/problem/D","CF709-D2-D")</f>
        <v>CF709-D2-D</v>
      </c>
      <c r="C628" s="185"/>
      <c r="D628" s="185"/>
      <c r="E628" s="185"/>
      <c r="F628" s="185"/>
      <c r="G628" s="185"/>
      <c r="H628" s="186"/>
      <c r="I628" s="81">
        <f t="shared" si="1"/>
        <v>0</v>
      </c>
      <c r="J628" s="126"/>
      <c r="K628" s="125"/>
      <c r="L628" s="185"/>
      <c r="M628" s="428"/>
      <c r="N628" s="412" t="s">
        <v>1592</v>
      </c>
      <c r="O628" s="412">
        <v>84.0</v>
      </c>
      <c r="P628" s="412">
        <v>5.5</v>
      </c>
      <c r="Q628" s="21" t="s">
        <v>1237</v>
      </c>
    </row>
    <row r="629">
      <c r="A629" s="107"/>
      <c r="B629" s="415" t="str">
        <f>HYPERLINK("https://www.codechef.com/LTIME64B/problems/BJUDGE","CODECHEF BJUDGE")</f>
        <v>CODECHEF BJUDGE</v>
      </c>
      <c r="C629" s="185"/>
      <c r="D629" s="185"/>
      <c r="E629" s="185"/>
      <c r="F629" s="185"/>
      <c r="G629" s="185"/>
      <c r="H629" s="186"/>
      <c r="I629" s="81">
        <f t="shared" si="1"/>
        <v>0</v>
      </c>
      <c r="J629" s="86"/>
      <c r="K629" s="80"/>
      <c r="L629" s="434"/>
      <c r="M629" s="430"/>
      <c r="N629" s="412" t="s">
        <v>1574</v>
      </c>
      <c r="O629" s="412">
        <v>84.0</v>
      </c>
      <c r="P629" s="412">
        <v>5.5</v>
      </c>
      <c r="Q629" s="21" t="s">
        <v>1237</v>
      </c>
    </row>
    <row r="630">
      <c r="A630" s="107"/>
      <c r="B630" s="415" t="str">
        <f>HYPERLINK("http://codeforces.com/contest/1023/problem/E","CF1023-D12-E")</f>
        <v>CF1023-D12-E</v>
      </c>
      <c r="C630" s="185"/>
      <c r="D630" s="185"/>
      <c r="E630" s="185"/>
      <c r="F630" s="185"/>
      <c r="G630" s="185"/>
      <c r="H630" s="186"/>
      <c r="I630" s="81">
        <f t="shared" si="1"/>
        <v>0</v>
      </c>
      <c r="J630" s="86"/>
      <c r="K630" s="80"/>
      <c r="L630" s="185"/>
      <c r="M630" s="107"/>
      <c r="N630" s="412" t="s">
        <v>1593</v>
      </c>
      <c r="O630" s="412">
        <v>84.0</v>
      </c>
      <c r="P630" s="412">
        <v>5.5</v>
      </c>
      <c r="Q630" s="21" t="s">
        <v>1237</v>
      </c>
    </row>
    <row r="631">
      <c r="A631" s="107" t="s">
        <v>1037</v>
      </c>
      <c r="B631" s="415" t="str">
        <f>HYPERLINK("http://codeforces.com/contest/104/problem/D","CF104-D2-D")</f>
        <v>CF104-D2-D</v>
      </c>
      <c r="C631" s="185"/>
      <c r="D631" s="185"/>
      <c r="E631" s="185"/>
      <c r="F631" s="185"/>
      <c r="G631" s="185"/>
      <c r="H631" s="186"/>
      <c r="I631" s="81">
        <f t="shared" si="1"/>
        <v>0</v>
      </c>
      <c r="J631" s="86"/>
      <c r="K631" s="80"/>
      <c r="L631" s="185"/>
      <c r="M631" s="107"/>
      <c r="N631" s="412" t="s">
        <v>1594</v>
      </c>
      <c r="O631" s="412">
        <v>84.0</v>
      </c>
      <c r="P631" s="412">
        <v>5.5</v>
      </c>
      <c r="Q631" s="21" t="s">
        <v>1237</v>
      </c>
    </row>
    <row r="632">
      <c r="A632" s="107"/>
      <c r="B632" s="415" t="str">
        <f>HYPERLINK("http://codeforces.com/contest/1043/problem/E","CF1043-D12-E")</f>
        <v>CF1043-D12-E</v>
      </c>
      <c r="C632" s="185"/>
      <c r="D632" s="185"/>
      <c r="E632" s="185"/>
      <c r="F632" s="185"/>
      <c r="G632" s="185"/>
      <c r="H632" s="186"/>
      <c r="I632" s="81">
        <f t="shared" si="1"/>
        <v>0</v>
      </c>
      <c r="J632" s="126"/>
      <c r="K632" s="125"/>
      <c r="L632" s="434"/>
      <c r="M632" s="435"/>
      <c r="N632" s="412" t="s">
        <v>1595</v>
      </c>
      <c r="O632" s="412">
        <v>84.0</v>
      </c>
      <c r="P632" s="412">
        <v>5.5</v>
      </c>
      <c r="Q632" s="21" t="s">
        <v>1237</v>
      </c>
    </row>
    <row r="633">
      <c r="A633" s="107" t="s">
        <v>1106</v>
      </c>
      <c r="B633" s="415" t="str">
        <f>HYPERLINK("http://codeforces.com/contest/447/problem/D","CF447-D2-D")</f>
        <v>CF447-D2-D</v>
      </c>
      <c r="C633" s="185"/>
      <c r="D633" s="185"/>
      <c r="E633" s="185"/>
      <c r="F633" s="185"/>
      <c r="G633" s="185"/>
      <c r="H633" s="186"/>
      <c r="I633" s="81">
        <f t="shared" si="1"/>
        <v>0</v>
      </c>
      <c r="J633" s="86"/>
      <c r="K633" s="80"/>
      <c r="L633" s="434"/>
      <c r="M633" s="287" t="s">
        <v>1107</v>
      </c>
      <c r="N633" s="412" t="s">
        <v>1596</v>
      </c>
      <c r="O633" s="412">
        <v>84.0</v>
      </c>
      <c r="P633" s="412">
        <v>5.5</v>
      </c>
      <c r="Q633" s="21" t="s">
        <v>1235</v>
      </c>
    </row>
    <row r="634">
      <c r="A634" s="107"/>
      <c r="B634" s="415" t="str">
        <f>HYPERLINK("https://agc002.contest.atcoder.jp/tasks/agc002_c","AtCoder002-AGC-C")</f>
        <v>AtCoder002-AGC-C</v>
      </c>
      <c r="C634" s="185"/>
      <c r="D634" s="185"/>
      <c r="E634" s="185"/>
      <c r="F634" s="185"/>
      <c r="G634" s="185"/>
      <c r="H634" s="186"/>
      <c r="I634" s="81">
        <f t="shared" si="1"/>
        <v>0</v>
      </c>
      <c r="J634" s="126"/>
      <c r="K634" s="125"/>
      <c r="L634" s="185"/>
      <c r="M634" s="107"/>
      <c r="N634" s="412" t="s">
        <v>1597</v>
      </c>
      <c r="O634" s="412">
        <v>84.0</v>
      </c>
      <c r="P634" s="412">
        <v>5.5</v>
      </c>
      <c r="Q634" s="21" t="s">
        <v>1235</v>
      </c>
    </row>
    <row r="635">
      <c r="A635" s="107" t="s">
        <v>1151</v>
      </c>
      <c r="B635" s="415" t="str">
        <f>HYPERLINK("http://codeforces.com/problemset/gymProblem/101149/G","CF101149-GYM-G")</f>
        <v>CF101149-GYM-G</v>
      </c>
      <c r="C635" s="185"/>
      <c r="D635" s="185"/>
      <c r="E635" s="185"/>
      <c r="F635" s="185"/>
      <c r="G635" s="185"/>
      <c r="H635" s="186"/>
      <c r="I635" s="81">
        <f t="shared" si="1"/>
        <v>0</v>
      </c>
      <c r="J635" s="86"/>
      <c r="K635" s="80"/>
      <c r="L635" s="434"/>
      <c r="M635" s="321" t="str">
        <f>HYPERLINK("https://github.com/BRAINOOOO/CompetitiveProgramming/blob/3057480d3a311cc86a6d64546655a9bb4017cbd6/CF/CF101149-GYM-G.Cpp","Sol")</f>
        <v>Sol</v>
      </c>
      <c r="N635" s="412" t="s">
        <v>1598</v>
      </c>
      <c r="O635" s="412">
        <v>84.0</v>
      </c>
      <c r="P635" s="412">
        <v>5.5</v>
      </c>
      <c r="Q635" s="21" t="s">
        <v>1231</v>
      </c>
    </row>
    <row r="636">
      <c r="A636" s="107" t="s">
        <v>994</v>
      </c>
      <c r="B636" s="415" t="str">
        <f>HYPERLINK("http://codeforces.com/contest/672/problem/D","CF672-D2-D")</f>
        <v>CF672-D2-D</v>
      </c>
      <c r="C636" s="185"/>
      <c r="D636" s="185"/>
      <c r="E636" s="185"/>
      <c r="F636" s="185"/>
      <c r="G636" s="185"/>
      <c r="H636" s="186"/>
      <c r="I636" s="81">
        <f t="shared" si="1"/>
        <v>0</v>
      </c>
      <c r="J636" s="86"/>
      <c r="K636" s="80"/>
      <c r="L636" s="185"/>
      <c r="M636" s="428"/>
      <c r="N636" s="412" t="s">
        <v>1599</v>
      </c>
      <c r="O636" s="412">
        <v>84.0</v>
      </c>
      <c r="P636" s="412">
        <v>5.5</v>
      </c>
    </row>
    <row r="637">
      <c r="A637" s="107"/>
      <c r="B637" s="107" t="s">
        <v>1032</v>
      </c>
      <c r="C637" s="185"/>
      <c r="D637" s="185"/>
      <c r="E637" s="185"/>
      <c r="F637" s="185"/>
      <c r="G637" s="185"/>
      <c r="H637" s="186"/>
      <c r="I637" s="81">
        <f t="shared" si="1"/>
        <v>0</v>
      </c>
      <c r="J637" s="120"/>
      <c r="K637" s="185"/>
      <c r="L637" s="434"/>
      <c r="M637" s="428"/>
      <c r="N637" s="412" t="s">
        <v>1600</v>
      </c>
      <c r="O637" s="412">
        <v>84.0</v>
      </c>
      <c r="P637" s="412">
        <v>6.0</v>
      </c>
      <c r="Q637" s="21" t="s">
        <v>1237</v>
      </c>
    </row>
    <row r="638">
      <c r="A638" s="107"/>
      <c r="B638" s="415" t="str">
        <f>HYPERLINK("https://codeforces.com/contest/867/problem/E","CF867-D12-E")</f>
        <v>CF867-D12-E</v>
      </c>
      <c r="C638" s="185"/>
      <c r="D638" s="185"/>
      <c r="E638" s="185"/>
      <c r="F638" s="185"/>
      <c r="G638" s="185"/>
      <c r="H638" s="186"/>
      <c r="I638" s="81">
        <f t="shared" si="1"/>
        <v>0</v>
      </c>
      <c r="J638" s="120"/>
      <c r="K638" s="185"/>
      <c r="L638" s="185"/>
      <c r="M638" s="435"/>
      <c r="N638" s="412" t="s">
        <v>1601</v>
      </c>
      <c r="O638" s="412">
        <v>84.0</v>
      </c>
      <c r="P638" s="412">
        <v>6.0</v>
      </c>
      <c r="Q638" s="21" t="s">
        <v>1237</v>
      </c>
    </row>
    <row r="639">
      <c r="A639" s="107"/>
      <c r="B639" s="107" t="s">
        <v>1156</v>
      </c>
      <c r="C639" s="185"/>
      <c r="D639" s="185"/>
      <c r="E639" s="185"/>
      <c r="F639" s="185"/>
      <c r="G639" s="185"/>
      <c r="H639" s="186"/>
      <c r="I639" s="81">
        <f t="shared" si="1"/>
        <v>0</v>
      </c>
      <c r="J639" s="86"/>
      <c r="K639" s="80"/>
      <c r="L639" s="434"/>
      <c r="M639" s="435"/>
      <c r="N639" s="412" t="s">
        <v>1602</v>
      </c>
      <c r="O639" s="412">
        <v>84.0</v>
      </c>
      <c r="P639" s="412">
        <v>6.0</v>
      </c>
      <c r="Q639" s="21" t="s">
        <v>1235</v>
      </c>
    </row>
    <row r="640">
      <c r="A640" s="107" t="s">
        <v>1137</v>
      </c>
      <c r="B640" s="415" t="str">
        <f>HYPERLINK("http://codeforces.com/contest/496/problem/D","CF496-D2-D")</f>
        <v>CF496-D2-D</v>
      </c>
      <c r="C640" s="185"/>
      <c r="D640" s="185"/>
      <c r="E640" s="185"/>
      <c r="F640" s="185"/>
      <c r="G640" s="185"/>
      <c r="H640" s="186"/>
      <c r="I640" s="81">
        <f t="shared" si="1"/>
        <v>0</v>
      </c>
      <c r="J640" s="126"/>
      <c r="K640" s="125"/>
      <c r="L640" s="434"/>
      <c r="M640" s="430"/>
      <c r="N640" s="412" t="s">
        <v>1603</v>
      </c>
      <c r="O640" s="412">
        <v>84.0</v>
      </c>
      <c r="P640" s="412">
        <v>6.0</v>
      </c>
    </row>
    <row r="641">
      <c r="A641" s="107" t="s">
        <v>246</v>
      </c>
      <c r="B641" s="415" t="str">
        <f>HYPERLINK("http://codeforces.com/contest/127/problem/A","CF127-D2-A")</f>
        <v>CF127-D2-A</v>
      </c>
      <c r="C641" s="185"/>
      <c r="D641" s="185"/>
      <c r="E641" s="185"/>
      <c r="F641" s="185"/>
      <c r="G641" s="185"/>
      <c r="H641" s="186"/>
      <c r="I641" s="81">
        <f t="shared" si="1"/>
        <v>0</v>
      </c>
      <c r="J641" s="120"/>
      <c r="K641" s="80"/>
      <c r="L641" s="120"/>
      <c r="M641" s="431"/>
      <c r="N641" s="412" t="s">
        <v>1604</v>
      </c>
      <c r="O641" s="412">
        <v>86.0</v>
      </c>
      <c r="P641" s="287">
        <v>1.5</v>
      </c>
    </row>
    <row r="642">
      <c r="A642" s="107" t="s">
        <v>204</v>
      </c>
      <c r="B642" s="415" t="str">
        <f>HYPERLINK("http://codeforces.com/contest/709/problem/A","CF709-D2-A")</f>
        <v>CF709-D2-A</v>
      </c>
      <c r="C642" s="185"/>
      <c r="D642" s="185"/>
      <c r="E642" s="185"/>
      <c r="F642" s="185"/>
      <c r="G642" s="185"/>
      <c r="H642" s="186"/>
      <c r="I642" s="81">
        <f t="shared" si="1"/>
        <v>0</v>
      </c>
      <c r="J642" s="120"/>
      <c r="K642" s="80"/>
      <c r="L642" s="120"/>
      <c r="M642" s="419" t="str">
        <f>HYPERLINK("https://www.youtube.com/watch?v=fPcKGZ_e8G0","Video Solution - Solver to be (Java)")</f>
        <v>Video Solution - Solver to be (Java)</v>
      </c>
      <c r="N642" s="412" t="s">
        <v>1604</v>
      </c>
      <c r="O642" s="412">
        <v>86.0</v>
      </c>
      <c r="P642" s="287">
        <v>1.5</v>
      </c>
    </row>
    <row r="643">
      <c r="A643" s="107" t="s">
        <v>243</v>
      </c>
      <c r="B643" s="415" t="str">
        <f>HYPERLINK("http://codeforces.com/contest/785/problem/A","CF785-D2-A")</f>
        <v>CF785-D2-A</v>
      </c>
      <c r="C643" s="185"/>
      <c r="D643" s="185"/>
      <c r="E643" s="185"/>
      <c r="F643" s="185"/>
      <c r="G643" s="185"/>
      <c r="H643" s="186"/>
      <c r="I643" s="81">
        <f t="shared" si="1"/>
        <v>0</v>
      </c>
      <c r="J643" s="120"/>
      <c r="K643" s="80"/>
      <c r="L643" s="120"/>
      <c r="M643" s="418" t="str">
        <f>HYPERLINK("https://www.youtube.com/watch?v=PgEnG308Hf4","Video Solution - Solver to be (Java)")</f>
        <v>Video Solution - Solver to be (Java)</v>
      </c>
      <c r="N643" s="412" t="s">
        <v>1604</v>
      </c>
      <c r="O643" s="412">
        <v>86.0</v>
      </c>
      <c r="P643" s="287">
        <v>1.5</v>
      </c>
    </row>
    <row r="644">
      <c r="A644" s="107" t="s">
        <v>239</v>
      </c>
      <c r="B644" s="415" t="str">
        <f>HYPERLINK("http://codeforces.com/contest/404/problem/A","CF404-D2-A")</f>
        <v>CF404-D2-A</v>
      </c>
      <c r="C644" s="185"/>
      <c r="D644" s="185"/>
      <c r="E644" s="185"/>
      <c r="F644" s="185"/>
      <c r="G644" s="185"/>
      <c r="H644" s="186"/>
      <c r="I644" s="81">
        <f t="shared" si="1"/>
        <v>0</v>
      </c>
      <c r="J644" s="120"/>
      <c r="K644" s="80"/>
      <c r="L644" s="120"/>
      <c r="M644" s="418" t="str">
        <f>HYPERLINK("https://www.youtube.com/watch?v=vLEXMm860gQ","Video Solution - Solver to be (Java)")</f>
        <v>Video Solution - Solver to be (Java)</v>
      </c>
      <c r="N644" s="412" t="s">
        <v>1605</v>
      </c>
      <c r="O644" s="412">
        <v>86.0</v>
      </c>
      <c r="P644" s="287">
        <v>1.5</v>
      </c>
    </row>
    <row r="645">
      <c r="A645" s="107" t="s">
        <v>587</v>
      </c>
      <c r="B645" s="415" t="str">
        <f>HYPERLINK("http://codeforces.com/contest/518/problem/B","CF518-D2-B")</f>
        <v>CF518-D2-B</v>
      </c>
      <c r="C645" s="185"/>
      <c r="D645" s="185"/>
      <c r="E645" s="185"/>
      <c r="F645" s="185"/>
      <c r="G645" s="185"/>
      <c r="H645" s="186"/>
      <c r="I645" s="81">
        <f t="shared" si="1"/>
        <v>0</v>
      </c>
      <c r="J645" s="126"/>
      <c r="K645" s="125"/>
      <c r="L645" s="185"/>
      <c r="M645" s="430"/>
      <c r="N645" s="412" t="s">
        <v>1604</v>
      </c>
      <c r="O645" s="412">
        <v>86.0</v>
      </c>
      <c r="P645" s="287">
        <v>2.0</v>
      </c>
    </row>
    <row r="646">
      <c r="A646" s="107" t="s">
        <v>1606</v>
      </c>
      <c r="B646" s="415" t="str">
        <f>HYPERLINK("http://codeforces.com/contest/548/problem/B","CF548-D2-B")</f>
        <v>CF548-D2-B</v>
      </c>
      <c r="C646" s="185"/>
      <c r="D646" s="185"/>
      <c r="E646" s="185"/>
      <c r="F646" s="185"/>
      <c r="G646" s="185"/>
      <c r="H646" s="186"/>
      <c r="I646" s="81">
        <f t="shared" si="1"/>
        <v>0</v>
      </c>
      <c r="J646" s="126"/>
      <c r="K646" s="125"/>
      <c r="L646" s="185"/>
      <c r="M646" s="430"/>
      <c r="N646" s="412" t="s">
        <v>1604</v>
      </c>
      <c r="O646" s="412">
        <v>86.0</v>
      </c>
      <c r="P646" s="287">
        <v>2.0</v>
      </c>
    </row>
    <row r="647">
      <c r="A647" s="107" t="s">
        <v>666</v>
      </c>
      <c r="B647" s="415" t="str">
        <f>HYPERLINK("http://codeforces.com/contest/534/problem/B","CF534-D2-B")</f>
        <v>CF534-D2-B</v>
      </c>
      <c r="C647" s="185"/>
      <c r="D647" s="185"/>
      <c r="E647" s="185"/>
      <c r="F647" s="185"/>
      <c r="G647" s="185"/>
      <c r="H647" s="186"/>
      <c r="I647" s="81">
        <f t="shared" si="1"/>
        <v>0</v>
      </c>
      <c r="J647" s="86"/>
      <c r="K647" s="80"/>
      <c r="L647" s="185"/>
      <c r="M647" s="433"/>
      <c r="N647" s="412" t="s">
        <v>1604</v>
      </c>
      <c r="O647" s="412">
        <v>86.0</v>
      </c>
      <c r="P647" s="287">
        <v>2.0</v>
      </c>
    </row>
    <row r="648">
      <c r="A648" s="107" t="s">
        <v>631</v>
      </c>
      <c r="B648" s="415" t="str">
        <f>HYPERLINK("http://codeforces.com/contest/631/problem/B","CF631-D2-B")</f>
        <v>CF631-D2-B</v>
      </c>
      <c r="C648" s="185"/>
      <c r="D648" s="185"/>
      <c r="E648" s="185"/>
      <c r="F648" s="185"/>
      <c r="G648" s="185"/>
      <c r="H648" s="186"/>
      <c r="I648" s="81">
        <f t="shared" si="1"/>
        <v>0</v>
      </c>
      <c r="J648" s="86"/>
      <c r="K648" s="80"/>
      <c r="L648" s="185"/>
      <c r="M648" s="431"/>
      <c r="N648" s="412" t="s">
        <v>1604</v>
      </c>
      <c r="O648" s="412">
        <v>86.0</v>
      </c>
      <c r="P648" s="287">
        <v>2.0</v>
      </c>
    </row>
    <row r="649">
      <c r="A649" s="107" t="s">
        <v>815</v>
      </c>
      <c r="B649" s="415" t="str">
        <f>HYPERLINK("http://codeforces.com/contest/146/problem/B","CF146-D2-B")</f>
        <v>CF146-D2-B</v>
      </c>
      <c r="C649" s="185"/>
      <c r="D649" s="185"/>
      <c r="E649" s="185"/>
      <c r="F649" s="185"/>
      <c r="G649" s="185"/>
      <c r="H649" s="186"/>
      <c r="I649" s="81">
        <f t="shared" si="1"/>
        <v>0</v>
      </c>
      <c r="J649" s="86"/>
      <c r="K649" s="80"/>
      <c r="L649" s="185"/>
      <c r="M649" s="257"/>
      <c r="N649" s="412" t="s">
        <v>1604</v>
      </c>
      <c r="O649" s="412">
        <v>86.0</v>
      </c>
      <c r="P649" s="287">
        <v>2.0</v>
      </c>
    </row>
    <row r="650">
      <c r="A650" s="107" t="s">
        <v>605</v>
      </c>
      <c r="B650" s="415" t="str">
        <f>HYPERLINK("http://codeforces.com/contest/219/problem/B","CF219-D2-B")</f>
        <v>CF219-D2-B</v>
      </c>
      <c r="C650" s="185"/>
      <c r="D650" s="185"/>
      <c r="E650" s="185"/>
      <c r="F650" s="185"/>
      <c r="G650" s="185"/>
      <c r="H650" s="186"/>
      <c r="I650" s="81">
        <f t="shared" si="1"/>
        <v>0</v>
      </c>
      <c r="J650" s="86"/>
      <c r="K650" s="80"/>
      <c r="L650" s="185"/>
      <c r="M650" s="433"/>
      <c r="N650" s="412" t="s">
        <v>1604</v>
      </c>
      <c r="O650" s="412">
        <v>86.0</v>
      </c>
      <c r="P650" s="287">
        <v>2.0</v>
      </c>
      <c r="Q650" s="21" t="s">
        <v>1235</v>
      </c>
    </row>
    <row r="651">
      <c r="A651" s="107" t="s">
        <v>798</v>
      </c>
      <c r="B651" s="415" t="str">
        <f>HYPERLINK("http://codeforces.com/contest/233/problem/B","CF233-D2-B")</f>
        <v>CF233-D2-B</v>
      </c>
      <c r="C651" s="185"/>
      <c r="D651" s="185"/>
      <c r="E651" s="185"/>
      <c r="F651" s="185"/>
      <c r="G651" s="185"/>
      <c r="H651" s="186"/>
      <c r="I651" s="81">
        <f t="shared" si="1"/>
        <v>0</v>
      </c>
      <c r="J651" s="86"/>
      <c r="K651" s="80"/>
      <c r="L651" s="185"/>
      <c r="M651" s="257"/>
      <c r="N651" s="412" t="s">
        <v>1604</v>
      </c>
      <c r="O651" s="412">
        <v>86.0</v>
      </c>
      <c r="P651" s="287">
        <v>2.0</v>
      </c>
    </row>
    <row r="652">
      <c r="A652" s="107" t="s">
        <v>1607</v>
      </c>
      <c r="B652" s="415" t="str">
        <f>HYPERLINK("http://codeforces.com/contest/357/problem/B","CF357-D2-B")</f>
        <v>CF357-D2-B</v>
      </c>
      <c r="C652" s="185"/>
      <c r="D652" s="185"/>
      <c r="E652" s="185"/>
      <c r="F652" s="185"/>
      <c r="G652" s="185"/>
      <c r="H652" s="186"/>
      <c r="I652" s="81">
        <f t="shared" si="1"/>
        <v>0</v>
      </c>
      <c r="J652" s="86"/>
      <c r="K652" s="80"/>
      <c r="L652" s="120"/>
      <c r="M652" s="257"/>
      <c r="N652" s="412" t="s">
        <v>1604</v>
      </c>
      <c r="O652" s="412">
        <v>86.0</v>
      </c>
      <c r="P652" s="287">
        <v>2.0</v>
      </c>
    </row>
    <row r="653">
      <c r="A653" s="107" t="s">
        <v>758</v>
      </c>
      <c r="B653" s="415" t="str">
        <f>HYPERLINK("http://codeforces.com/contest/426/problem/B","CF426-D2-B")</f>
        <v>CF426-D2-B</v>
      </c>
      <c r="C653" s="185"/>
      <c r="D653" s="185"/>
      <c r="E653" s="185"/>
      <c r="F653" s="185"/>
      <c r="G653" s="185"/>
      <c r="H653" s="186"/>
      <c r="I653" s="81">
        <f t="shared" si="1"/>
        <v>0</v>
      </c>
      <c r="J653" s="86"/>
      <c r="K653" s="80"/>
      <c r="L653" s="120"/>
      <c r="M653" s="257"/>
      <c r="N653" s="412" t="s">
        <v>1604</v>
      </c>
      <c r="O653" s="412">
        <v>86.0</v>
      </c>
      <c r="P653" s="287">
        <v>2.0</v>
      </c>
    </row>
    <row r="654">
      <c r="A654" s="107" t="s">
        <v>777</v>
      </c>
      <c r="B654" s="415" t="str">
        <f>HYPERLINK("http://codeforces.com/contest/454/problem/B","CF454-D2-B")</f>
        <v>CF454-D2-B</v>
      </c>
      <c r="C654" s="185"/>
      <c r="D654" s="185"/>
      <c r="E654" s="185"/>
      <c r="F654" s="185"/>
      <c r="G654" s="185"/>
      <c r="H654" s="186"/>
      <c r="I654" s="81">
        <f t="shared" si="1"/>
        <v>0</v>
      </c>
      <c r="J654" s="86"/>
      <c r="K654" s="80"/>
      <c r="L654" s="120"/>
      <c r="M654" s="257"/>
      <c r="N654" s="412" t="s">
        <v>1604</v>
      </c>
      <c r="O654" s="412">
        <v>86.0</v>
      </c>
      <c r="P654" s="287">
        <v>2.0</v>
      </c>
    </row>
    <row r="655">
      <c r="A655" s="107" t="s">
        <v>814</v>
      </c>
      <c r="B655" s="415" t="str">
        <f>HYPERLINK("http://codeforces.com/contest/471/problem/B","CF471-D2-B")</f>
        <v>CF471-D2-B</v>
      </c>
      <c r="C655" s="185"/>
      <c r="D655" s="185"/>
      <c r="E655" s="185"/>
      <c r="F655" s="185"/>
      <c r="G655" s="185"/>
      <c r="H655" s="186"/>
      <c r="I655" s="81">
        <f t="shared" si="1"/>
        <v>0</v>
      </c>
      <c r="J655" s="86"/>
      <c r="K655" s="80"/>
      <c r="L655" s="185"/>
      <c r="M655" s="257"/>
      <c r="N655" s="412" t="s">
        <v>1604</v>
      </c>
      <c r="O655" s="412">
        <v>86.0</v>
      </c>
      <c r="P655" s="287">
        <v>2.0</v>
      </c>
    </row>
    <row r="656">
      <c r="A656" s="107" t="s">
        <v>476</v>
      </c>
      <c r="B656" s="415" t="str">
        <f>HYPERLINK("http://codeforces.com/contest/614/problem/B","CF614-D2-B")</f>
        <v>CF614-D2-B</v>
      </c>
      <c r="C656" s="185"/>
      <c r="D656" s="185"/>
      <c r="E656" s="185"/>
      <c r="F656" s="185"/>
      <c r="G656" s="185"/>
      <c r="H656" s="186"/>
      <c r="I656" s="81">
        <f t="shared" si="1"/>
        <v>0</v>
      </c>
      <c r="J656" s="86"/>
      <c r="K656" s="80"/>
      <c r="L656" s="185"/>
      <c r="M656" s="428"/>
      <c r="N656" s="412" t="s">
        <v>1604</v>
      </c>
      <c r="O656" s="412">
        <v>86.0</v>
      </c>
      <c r="P656" s="287">
        <v>2.0</v>
      </c>
    </row>
    <row r="657">
      <c r="A657" s="107" t="s">
        <v>825</v>
      </c>
      <c r="B657" s="415" t="str">
        <f>HYPERLINK("http://codeforces.com/contest/131/problem/B","CF131-D2-B")</f>
        <v>CF131-D2-B</v>
      </c>
      <c r="C657" s="185"/>
      <c r="D657" s="185"/>
      <c r="E657" s="185"/>
      <c r="F657" s="185"/>
      <c r="G657" s="185"/>
      <c r="H657" s="186"/>
      <c r="I657" s="81">
        <f t="shared" si="1"/>
        <v>0</v>
      </c>
      <c r="J657" s="126"/>
      <c r="K657" s="125"/>
      <c r="L657" s="185"/>
      <c r="M657" s="424"/>
      <c r="N657" s="412" t="s">
        <v>1604</v>
      </c>
      <c r="O657" s="412">
        <v>86.0</v>
      </c>
      <c r="P657" s="287">
        <v>2.0</v>
      </c>
    </row>
    <row r="658">
      <c r="A658" s="107" t="s">
        <v>1608</v>
      </c>
      <c r="B658" s="415" t="str">
        <f>HYPERLINK("http://codeforces.com/contest/116/problem/B","CF116-D2-B")</f>
        <v>CF116-D2-B</v>
      </c>
      <c r="C658" s="185"/>
      <c r="D658" s="185"/>
      <c r="E658" s="185"/>
      <c r="F658" s="185"/>
      <c r="G658" s="185"/>
      <c r="H658" s="186"/>
      <c r="I658" s="81">
        <f t="shared" si="1"/>
        <v>0</v>
      </c>
      <c r="J658" s="86"/>
      <c r="K658" s="80"/>
      <c r="L658" s="185"/>
      <c r="M658" s="433"/>
      <c r="N658" s="412" t="s">
        <v>1604</v>
      </c>
      <c r="O658" s="412">
        <v>86.0</v>
      </c>
      <c r="P658" s="287">
        <v>2.0</v>
      </c>
    </row>
    <row r="659">
      <c r="A659" s="107" t="s">
        <v>651</v>
      </c>
      <c r="B659" s="415" t="str">
        <f>HYPERLINK("http://codeforces.com/contest/222/problem/B","CF222-D2-B")</f>
        <v>CF222-D2-B</v>
      </c>
      <c r="C659" s="185"/>
      <c r="D659" s="185"/>
      <c r="E659" s="185"/>
      <c r="F659" s="185"/>
      <c r="G659" s="185"/>
      <c r="H659" s="186"/>
      <c r="I659" s="81">
        <f t="shared" si="1"/>
        <v>0</v>
      </c>
      <c r="J659" s="126"/>
      <c r="K659" s="125"/>
      <c r="L659" s="185"/>
      <c r="M659" s="246"/>
      <c r="N659" s="412" t="s">
        <v>1604</v>
      </c>
      <c r="O659" s="412">
        <v>86.0</v>
      </c>
      <c r="P659" s="287">
        <v>2.0</v>
      </c>
    </row>
    <row r="660">
      <c r="A660" s="107" t="s">
        <v>618</v>
      </c>
      <c r="B660" s="415" t="str">
        <f>HYPERLINK("http://codeforces.com/contest/271/problem/B","CF271-D2-B")</f>
        <v>CF271-D2-B</v>
      </c>
      <c r="C660" s="185"/>
      <c r="D660" s="185"/>
      <c r="E660" s="185"/>
      <c r="F660" s="185"/>
      <c r="G660" s="185"/>
      <c r="H660" s="186"/>
      <c r="I660" s="81">
        <f t="shared" si="1"/>
        <v>0</v>
      </c>
      <c r="J660" s="86"/>
      <c r="K660" s="80"/>
      <c r="L660" s="185"/>
      <c r="M660" s="428"/>
      <c r="N660" s="412" t="s">
        <v>1604</v>
      </c>
      <c r="O660" s="412">
        <v>86.0</v>
      </c>
      <c r="P660" s="287">
        <v>2.0</v>
      </c>
    </row>
    <row r="661">
      <c r="A661" s="107" t="s">
        <v>482</v>
      </c>
      <c r="B661" s="415" t="str">
        <f>HYPERLINK("http://codeforces.com/contest/621/problem/B","CF621-D2-B")</f>
        <v>CF621-D2-B</v>
      </c>
      <c r="C661" s="185"/>
      <c r="D661" s="185"/>
      <c r="E661" s="185"/>
      <c r="F661" s="185"/>
      <c r="G661" s="185"/>
      <c r="H661" s="186"/>
      <c r="I661" s="81">
        <f t="shared" si="1"/>
        <v>0</v>
      </c>
      <c r="J661" s="86"/>
      <c r="K661" s="80"/>
      <c r="L661" s="185"/>
      <c r="M661" s="219" t="str">
        <f>HYPERLINK("https://www.youtube.com/watch?v=zKne2u4DuIs&amp;feature=youtu.be","Video Solution - Eng Mahmoud Mabrok")</f>
        <v>Video Solution - Eng Mahmoud Mabrok</v>
      </c>
      <c r="N661" s="412" t="s">
        <v>1604</v>
      </c>
      <c r="O661" s="412">
        <v>86.0</v>
      </c>
      <c r="P661" s="287">
        <v>2.0</v>
      </c>
    </row>
    <row r="662">
      <c r="A662" s="107"/>
      <c r="B662" s="415" t="str">
        <f>HYPERLINK("https://codeforces.com/contest/1030/problem/B","CF1030-D12-B")</f>
        <v>CF1030-D12-B</v>
      </c>
      <c r="C662" s="185"/>
      <c r="D662" s="185"/>
      <c r="E662" s="185"/>
      <c r="F662" s="185"/>
      <c r="G662" s="185"/>
      <c r="H662" s="186"/>
      <c r="I662" s="81">
        <f t="shared" si="1"/>
        <v>0</v>
      </c>
      <c r="J662" s="126"/>
      <c r="K662" s="125"/>
      <c r="L662" s="185"/>
      <c r="M662" s="433"/>
      <c r="N662" s="412" t="s">
        <v>1609</v>
      </c>
      <c r="O662" s="412">
        <v>86.0</v>
      </c>
      <c r="P662" s="287">
        <v>2.0</v>
      </c>
    </row>
    <row r="663">
      <c r="A663" s="107" t="s">
        <v>667</v>
      </c>
      <c r="B663" s="415" t="str">
        <f>HYPERLINK("http://codeforces.com/contest/75/problem/B","CF75-D2-B")</f>
        <v>CF75-D2-B</v>
      </c>
      <c r="C663" s="185"/>
      <c r="D663" s="185"/>
      <c r="E663" s="185"/>
      <c r="F663" s="185"/>
      <c r="G663" s="185"/>
      <c r="H663" s="186"/>
      <c r="I663" s="81">
        <f t="shared" si="1"/>
        <v>0</v>
      </c>
      <c r="J663" s="86"/>
      <c r="K663" s="80"/>
      <c r="L663" s="185"/>
      <c r="M663" s="433"/>
      <c r="N663" s="412" t="s">
        <v>1610</v>
      </c>
      <c r="O663" s="412">
        <v>86.0</v>
      </c>
      <c r="P663" s="287">
        <v>2.0</v>
      </c>
    </row>
    <row r="664">
      <c r="A664" s="110" t="s">
        <v>649</v>
      </c>
      <c r="B664" s="128" t="str">
        <f>HYPERLINK("http://codeforces.com/contest/490/problem/B","CF490-D2-B")</f>
        <v>CF490-D2-B</v>
      </c>
      <c r="C664" s="50"/>
      <c r="D664" s="50"/>
      <c r="E664" s="50"/>
      <c r="F664" s="50"/>
      <c r="G664" s="50"/>
      <c r="H664" s="50"/>
      <c r="I664" s="127">
        <f t="shared" si="1"/>
        <v>0</v>
      </c>
      <c r="J664" s="47"/>
      <c r="K664" s="50"/>
      <c r="L664" s="47"/>
      <c r="M664" s="50"/>
      <c r="N664" s="110" t="s">
        <v>1611</v>
      </c>
      <c r="O664" s="107">
        <v>86.0</v>
      </c>
      <c r="P664" s="430">
        <v>3.0</v>
      </c>
      <c r="Q664" s="47" t="s">
        <v>1235</v>
      </c>
    </row>
    <row r="665">
      <c r="A665" s="107" t="s">
        <v>442</v>
      </c>
      <c r="B665" s="415" t="str">
        <f>HYPERLINK("http://acm.timus.ru/problem.aspx?space=1&amp;num=1054","TIMUS 1054")</f>
        <v>TIMUS 1054</v>
      </c>
      <c r="C665" s="185"/>
      <c r="D665" s="185"/>
      <c r="E665" s="185"/>
      <c r="F665" s="185"/>
      <c r="G665" s="185"/>
      <c r="H665" s="186"/>
      <c r="I665" s="81">
        <f t="shared" si="1"/>
        <v>0</v>
      </c>
      <c r="J665" s="86"/>
      <c r="K665" s="80"/>
      <c r="L665" s="185"/>
      <c r="M665" s="219" t="str">
        <f>HYPERLINK("https://github.com/MeGaCrazy/CompetitiveProgramming/blob/9ebf16b4239c8f58c694f2ae22c8f07d1fa70864/Timus/TIMUS_1054.cpp","Sol")</f>
        <v>Sol</v>
      </c>
      <c r="N665" s="412" t="s">
        <v>1612</v>
      </c>
      <c r="O665" s="412">
        <v>86.0</v>
      </c>
      <c r="P665" s="412">
        <v>3.0</v>
      </c>
      <c r="Q665" s="21" t="s">
        <v>1235</v>
      </c>
    </row>
    <row r="666">
      <c r="A666" s="107" t="s">
        <v>1115</v>
      </c>
      <c r="B666" s="415" t="str">
        <f>HYPERLINK("http://codeforces.com/contest/495/problem/C","CF495-D2-C")</f>
        <v>CF495-D2-C</v>
      </c>
      <c r="C666" s="185"/>
      <c r="D666" s="185"/>
      <c r="E666" s="185"/>
      <c r="F666" s="185"/>
      <c r="G666" s="185"/>
      <c r="H666" s="186"/>
      <c r="I666" s="81">
        <f t="shared" si="1"/>
        <v>0</v>
      </c>
      <c r="J666" s="126"/>
      <c r="K666" s="125"/>
      <c r="L666" s="434"/>
      <c r="M666" s="430"/>
      <c r="N666" s="412" t="s">
        <v>1604</v>
      </c>
      <c r="O666" s="412">
        <v>86.0</v>
      </c>
      <c r="P666" s="412">
        <v>4.0</v>
      </c>
    </row>
    <row r="667">
      <c r="A667" s="107" t="s">
        <v>1141</v>
      </c>
      <c r="B667" s="415" t="str">
        <f>HYPERLINK("http://codeforces.com/contest/69/problem/C","CF69-D2-C")</f>
        <v>CF69-D2-C</v>
      </c>
      <c r="C667" s="185"/>
      <c r="D667" s="185"/>
      <c r="E667" s="185"/>
      <c r="F667" s="185"/>
      <c r="G667" s="185"/>
      <c r="H667" s="186"/>
      <c r="I667" s="81">
        <f t="shared" si="1"/>
        <v>0</v>
      </c>
      <c r="J667" s="86"/>
      <c r="K667" s="80"/>
      <c r="L667" s="434"/>
      <c r="M667" s="430"/>
      <c r="N667" s="412" t="s">
        <v>1604</v>
      </c>
      <c r="O667" s="412">
        <v>86.0</v>
      </c>
      <c r="P667" s="412">
        <v>4.0</v>
      </c>
    </row>
    <row r="668">
      <c r="A668" s="107" t="s">
        <v>639</v>
      </c>
      <c r="B668" s="415" t="str">
        <f>HYPERLINK("https://uva.onlinejudge.org/index.php?option=onlinejudge&amp;page=show_problem&amp;problem=63","UVA 127")</f>
        <v>UVA 127</v>
      </c>
      <c r="C668" s="185"/>
      <c r="D668" s="185"/>
      <c r="E668" s="185"/>
      <c r="F668" s="185"/>
      <c r="G668" s="185"/>
      <c r="H668" s="186"/>
      <c r="I668" s="81">
        <f t="shared" si="1"/>
        <v>0</v>
      </c>
      <c r="J668" s="86"/>
      <c r="K668" s="80"/>
      <c r="L668" s="185"/>
      <c r="M668" s="195" t="str">
        <f>HYPERLINK("https://www.youtube.com/watch?v=fSZRRUPm0ro&amp;feature=youtu.be","Video Solution - Eng Moaz Rashad")</f>
        <v>Video Solution - Eng Moaz Rashad</v>
      </c>
      <c r="N668" s="412" t="s">
        <v>1604</v>
      </c>
      <c r="O668" s="412">
        <v>86.0</v>
      </c>
      <c r="P668" s="412">
        <v>4.0</v>
      </c>
      <c r="Q668" s="21" t="s">
        <v>1231</v>
      </c>
    </row>
    <row r="669">
      <c r="A669" s="107" t="s">
        <v>707</v>
      </c>
      <c r="B669" s="415" t="str">
        <f>HYPERLINK("http://codeforces.com/contest/268/problem/C","CF268-D2-C")</f>
        <v>CF268-D2-C</v>
      </c>
      <c r="C669" s="185"/>
      <c r="D669" s="185"/>
      <c r="E669" s="185"/>
      <c r="F669" s="185"/>
      <c r="G669" s="185"/>
      <c r="H669" s="186"/>
      <c r="I669" s="81">
        <f t="shared" si="1"/>
        <v>0</v>
      </c>
      <c r="J669" s="86"/>
      <c r="K669" s="80"/>
      <c r="L669" s="185"/>
      <c r="M669" s="428"/>
      <c r="N669" s="412" t="s">
        <v>1613</v>
      </c>
      <c r="O669" s="412">
        <v>86.0</v>
      </c>
      <c r="P669" s="412">
        <v>4.0</v>
      </c>
    </row>
    <row r="670">
      <c r="A670" s="107" t="s">
        <v>721</v>
      </c>
      <c r="B670" s="415" t="str">
        <f>HYPERLINK("http://codeforces.com/contest/462/problem/C","CF462-D2-C")</f>
        <v>CF462-D2-C</v>
      </c>
      <c r="C670" s="185"/>
      <c r="D670" s="185"/>
      <c r="E670" s="185"/>
      <c r="F670" s="185"/>
      <c r="G670" s="185"/>
      <c r="H670" s="186"/>
      <c r="I670" s="81">
        <f t="shared" si="1"/>
        <v>0</v>
      </c>
      <c r="J670" s="126"/>
      <c r="K670" s="125"/>
      <c r="L670" s="185"/>
      <c r="M670" s="432" t="str">
        <f>HYPERLINK("https://github.com/MedoN11/CompetitiveProgramming/blob/master/Atcoder/CF_462C.java","Sol")</f>
        <v>Sol</v>
      </c>
      <c r="N670" s="412" t="s">
        <v>1614</v>
      </c>
      <c r="O670" s="412">
        <v>86.0</v>
      </c>
      <c r="P670" s="412">
        <v>4.0</v>
      </c>
    </row>
    <row r="671">
      <c r="A671" s="107" t="s">
        <v>945</v>
      </c>
      <c r="B671" s="415" t="str">
        <f>HYPERLINK("http://codeforces.com/contest/581/problem/D","CF581-D2-D")</f>
        <v>CF581-D2-D</v>
      </c>
      <c r="C671" s="185"/>
      <c r="D671" s="185"/>
      <c r="E671" s="185"/>
      <c r="F671" s="185"/>
      <c r="G671" s="185"/>
      <c r="H671" s="186"/>
      <c r="I671" s="81">
        <f t="shared" si="1"/>
        <v>0</v>
      </c>
      <c r="J671" s="126"/>
      <c r="K671" s="125"/>
      <c r="L671" s="185"/>
      <c r="M671" s="430"/>
      <c r="N671" s="412" t="s">
        <v>1604</v>
      </c>
      <c r="O671" s="412">
        <v>86.0</v>
      </c>
      <c r="P671" s="412">
        <v>4.5</v>
      </c>
      <c r="Q671" s="21" t="s">
        <v>1235</v>
      </c>
    </row>
    <row r="672">
      <c r="A672" s="107" t="s">
        <v>662</v>
      </c>
      <c r="B672" s="415" t="str">
        <f>HYPERLINK("http://codeforces.com/contest/507/problem/C","CF507-D2-C")</f>
        <v>CF507-D2-C</v>
      </c>
      <c r="C672" s="185"/>
      <c r="D672" s="185"/>
      <c r="E672" s="185"/>
      <c r="F672" s="185"/>
      <c r="G672" s="185"/>
      <c r="H672" s="186"/>
      <c r="I672" s="81">
        <f t="shared" si="1"/>
        <v>0</v>
      </c>
      <c r="J672" s="86"/>
      <c r="K672" s="80"/>
      <c r="L672" s="185"/>
      <c r="M672" s="437" t="str">
        <f>HYPERLINK("https://www.youtube.com/watch?v=1Ki1L9BAJIQ","Video Solution - Dr Mostafa Saad")</f>
        <v>Video Solution - Dr Mostafa Saad</v>
      </c>
      <c r="N672" s="412" t="s">
        <v>1609</v>
      </c>
      <c r="O672" s="412">
        <v>86.0</v>
      </c>
      <c r="P672" s="412">
        <v>4.5</v>
      </c>
      <c r="Q672" s="21" t="s">
        <v>1235</v>
      </c>
    </row>
    <row r="673">
      <c r="A673" s="107"/>
      <c r="B673" s="415" t="str">
        <f>HYPERLINK("http://codeforces.com/contest/1043/problem/D" , "CF1042-D12-D")</f>
        <v>CF1042-D12-D</v>
      </c>
      <c r="C673" s="185"/>
      <c r="D673" s="185"/>
      <c r="E673" s="185"/>
      <c r="F673" s="185"/>
      <c r="G673" s="185"/>
      <c r="H673" s="186"/>
      <c r="I673" s="81">
        <f t="shared" si="1"/>
        <v>0</v>
      </c>
      <c r="J673" s="126"/>
      <c r="K673" s="125"/>
      <c r="L673" s="185"/>
      <c r="M673" s="430"/>
      <c r="N673" s="412" t="s">
        <v>1615</v>
      </c>
      <c r="O673" s="412">
        <v>86.0</v>
      </c>
      <c r="P673" s="412">
        <v>5.0</v>
      </c>
      <c r="Q673" s="21" t="s">
        <v>1235</v>
      </c>
    </row>
    <row r="674">
      <c r="A674" s="107" t="s">
        <v>806</v>
      </c>
      <c r="B674" s="415" t="str">
        <f>HYPERLINK("http://codeforces.com/contest/349/problem/C","CF349-D2-C")</f>
        <v>CF349-D2-C</v>
      </c>
      <c r="C674" s="185"/>
      <c r="D674" s="185"/>
      <c r="E674" s="185"/>
      <c r="F674" s="185"/>
      <c r="G674" s="185"/>
      <c r="H674" s="186"/>
      <c r="I674" s="81">
        <f t="shared" si="1"/>
        <v>0</v>
      </c>
      <c r="J674" s="126"/>
      <c r="K674" s="125"/>
      <c r="L674" s="185"/>
      <c r="M674" s="431"/>
      <c r="N674" s="412" t="s">
        <v>1609</v>
      </c>
      <c r="O674" s="412">
        <v>86.0</v>
      </c>
      <c r="P674" s="412">
        <v>5.0</v>
      </c>
      <c r="Q674" s="21" t="s">
        <v>1235</v>
      </c>
    </row>
    <row r="675">
      <c r="A675" s="107" t="s">
        <v>645</v>
      </c>
      <c r="B675" s="415" t="str">
        <f>HYPERLINK("http://codeforces.com/contest/405/problem/C","CF405-D2-C")</f>
        <v>CF405-D2-C</v>
      </c>
      <c r="C675" s="185"/>
      <c r="D675" s="185"/>
      <c r="E675" s="185"/>
      <c r="F675" s="185"/>
      <c r="G675" s="185"/>
      <c r="H675" s="186"/>
      <c r="I675" s="81">
        <f t="shared" si="1"/>
        <v>0</v>
      </c>
      <c r="J675" s="86"/>
      <c r="K675" s="80"/>
      <c r="L675" s="185"/>
      <c r="M675" s="428"/>
      <c r="N675" s="412" t="s">
        <v>1616</v>
      </c>
      <c r="O675" s="412">
        <v>86.0</v>
      </c>
      <c r="P675" s="412">
        <v>5.0</v>
      </c>
      <c r="Q675" s="21" t="s">
        <v>1231</v>
      </c>
    </row>
    <row r="676">
      <c r="A676" s="107"/>
      <c r="B676" s="415" t="str">
        <f>HYPERLINK("https://codeforces.com/gym/101187/problem/F","CF101187-GYM-F")</f>
        <v>CF101187-GYM-F</v>
      </c>
      <c r="C676" s="185"/>
      <c r="D676" s="185"/>
      <c r="E676" s="185"/>
      <c r="F676" s="185"/>
      <c r="G676" s="185"/>
      <c r="H676" s="186"/>
      <c r="I676" s="81">
        <f t="shared" si="1"/>
        <v>0</v>
      </c>
      <c r="J676" s="126"/>
      <c r="K676" s="125"/>
      <c r="L676" s="185"/>
      <c r="M676" s="415" t="str">
        <f>HYPERLINK("https://github.com/SpeedOfMagic/CompetitiveProgramming/blob/master/CodeforcesGym/CF101187-GYM-F.cpp","Sol")</f>
        <v>Sol</v>
      </c>
      <c r="N676" s="412" t="s">
        <v>1604</v>
      </c>
      <c r="O676" s="412">
        <v>86.0</v>
      </c>
      <c r="P676" s="412">
        <v>5.25</v>
      </c>
      <c r="Q676" s="21" t="s">
        <v>1235</v>
      </c>
    </row>
    <row r="677">
      <c r="A677" s="107" t="s">
        <v>1109</v>
      </c>
      <c r="B677" s="415" t="str">
        <f>HYPERLINK("http://codeforces.com/contest/435/problem/D","CF435-D2-D")</f>
        <v>CF435-D2-D</v>
      </c>
      <c r="C677" s="185"/>
      <c r="D677" s="185"/>
      <c r="E677" s="185"/>
      <c r="F677" s="185"/>
      <c r="G677" s="185"/>
      <c r="H677" s="186"/>
      <c r="I677" s="81">
        <f t="shared" si="1"/>
        <v>0</v>
      </c>
      <c r="J677" s="86"/>
      <c r="K677" s="80"/>
      <c r="L677" s="434"/>
      <c r="M677" s="435"/>
      <c r="N677" s="412" t="s">
        <v>1617</v>
      </c>
      <c r="O677" s="412">
        <v>86.0</v>
      </c>
      <c r="P677" s="412">
        <v>5.5</v>
      </c>
      <c r="Q677" s="21" t="s">
        <v>1235</v>
      </c>
    </row>
    <row r="678">
      <c r="A678" s="107" t="s">
        <v>242</v>
      </c>
      <c r="B678" s="415" t="str">
        <f>HYPERLINK("http://codeforces.com/contest/1/problem/A","CF1-D12-A")</f>
        <v>CF1-D12-A</v>
      </c>
      <c r="C678" s="185"/>
      <c r="D678" s="185"/>
      <c r="E678" s="185"/>
      <c r="F678" s="185"/>
      <c r="G678" s="185"/>
      <c r="H678" s="186"/>
      <c r="I678" s="81">
        <f t="shared" si="1"/>
        <v>0</v>
      </c>
      <c r="J678" s="120"/>
      <c r="K678" s="80"/>
      <c r="L678" s="120"/>
      <c r="M678" s="418" t="str">
        <f>HYPERLINK("https://www.youtube.com/watch?v=C5qZwZYPMJY","Video Solution - Solver to be (Java)")</f>
        <v>Video Solution - Solver to be (Java)</v>
      </c>
      <c r="N678" s="412" t="s">
        <v>1618</v>
      </c>
      <c r="O678" s="412">
        <v>87.0</v>
      </c>
      <c r="P678" s="287">
        <v>1.5</v>
      </c>
    </row>
    <row r="679">
      <c r="A679" s="107"/>
      <c r="B679" s="166" t="str">
        <f>HYPERLINK("https://codeforces.com/contest/1204/problem/A","CF1204-D2-A")</f>
        <v>CF1204-D2-A</v>
      </c>
      <c r="C679" s="185"/>
      <c r="D679" s="185"/>
      <c r="E679" s="185"/>
      <c r="F679" s="185"/>
      <c r="G679" s="185"/>
      <c r="H679" s="186"/>
      <c r="I679" s="81">
        <f t="shared" si="1"/>
        <v>0</v>
      </c>
      <c r="J679" s="120"/>
      <c r="K679" s="80"/>
      <c r="L679" s="120"/>
      <c r="M679" s="161" t="str">
        <f>HYPERLINK("https://www.youtube.com/watch?v=4ITr6GaZP","Video Solution - Dr Mostafa Saad")</f>
        <v>Video Solution - Dr Mostafa Saad</v>
      </c>
      <c r="N679" s="287" t="s">
        <v>1619</v>
      </c>
      <c r="O679" s="412">
        <v>87.0</v>
      </c>
      <c r="P679" s="412">
        <v>2.0</v>
      </c>
      <c r="Q679" s="21" t="s">
        <v>1235</v>
      </c>
    </row>
    <row r="680">
      <c r="A680" s="234" t="s">
        <v>266</v>
      </c>
      <c r="B680" s="104" t="str">
        <f>HYPERLINK("https://codeforces.com/contest/1237/problem/A","CF1237-D12-A")</f>
        <v>CF1237-D12-A</v>
      </c>
      <c r="C680" s="116"/>
      <c r="D680" s="116"/>
      <c r="E680" s="116"/>
      <c r="F680" s="116"/>
      <c r="G680" s="116"/>
      <c r="H680" s="116"/>
      <c r="I680" s="81">
        <f t="shared" si="1"/>
        <v>0</v>
      </c>
      <c r="J680" s="120"/>
      <c r="K680" s="80"/>
      <c r="L680" s="120"/>
      <c r="M680" s="168"/>
      <c r="N680" s="412" t="s">
        <v>1620</v>
      </c>
      <c r="O680" s="412">
        <v>87.0</v>
      </c>
      <c r="P680" s="412">
        <v>2.0</v>
      </c>
      <c r="Q680" s="21" t="s">
        <v>1237</v>
      </c>
    </row>
    <row r="681">
      <c r="A681" s="107" t="s">
        <v>407</v>
      </c>
      <c r="B681" s="415" t="str">
        <f>HYPERLINK("https://icpcarchive.ecs.baylor.edu/index.php?option=com_onlinejudge&amp;Itemid=8&amp;page=show_problem&amp;problem=558","LIVEARCHIVE 2557")</f>
        <v>LIVEARCHIVE 2557</v>
      </c>
      <c r="C681" s="185"/>
      <c r="D681" s="185"/>
      <c r="E681" s="185"/>
      <c r="F681" s="185"/>
      <c r="G681" s="185"/>
      <c r="H681" s="186"/>
      <c r="I681" s="81">
        <f t="shared" si="1"/>
        <v>0</v>
      </c>
      <c r="J681" s="86"/>
      <c r="K681" s="80"/>
      <c r="L681" s="86"/>
      <c r="M681" s="101" t="str">
        <f>HYPERLINK("https://raw.githubusercontent.com/NadaAlaa/CompetitiveProgramming/master/LiveArchive/2557.cpp","Find a formula")</f>
        <v>Find a formula</v>
      </c>
      <c r="N681" s="412" t="s">
        <v>1621</v>
      </c>
      <c r="O681" s="412">
        <v>87.0</v>
      </c>
      <c r="P681" s="412">
        <v>2.0</v>
      </c>
      <c r="Q681" s="21" t="s">
        <v>1231</v>
      </c>
    </row>
    <row r="682">
      <c r="A682" s="107" t="s">
        <v>214</v>
      </c>
      <c r="B682" s="415" t="str">
        <f>HYPERLINK("https://uva.onlinejudge.org/index.php?option=com_onlinejudge&amp;Itemid=8&amp;page=show_problem&amp;problem=1047","UVA 10106")</f>
        <v>UVA 10106</v>
      </c>
      <c r="C682" s="185"/>
      <c r="D682" s="185"/>
      <c r="E682" s="185"/>
      <c r="F682" s="185"/>
      <c r="G682" s="185"/>
      <c r="H682" s="186"/>
      <c r="I682" s="81">
        <f t="shared" si="1"/>
        <v>0</v>
      </c>
      <c r="J682" s="126"/>
      <c r="K682" s="80"/>
      <c r="L682" s="126"/>
      <c r="M682" s="425" t="str">
        <f>HYPERLINK("https://www.youtube.com/watch?v=KNd6eqRpWqE","Video Solution - Eng Youssef El Ghareeb. Don't solve using big integer")</f>
        <v>Video Solution - Eng Youssef El Ghareeb. Don't solve using big integer</v>
      </c>
      <c r="N682" s="412" t="s">
        <v>1618</v>
      </c>
      <c r="O682" s="412">
        <v>87.0</v>
      </c>
      <c r="P682" s="412">
        <v>2.0</v>
      </c>
    </row>
    <row r="683">
      <c r="A683" s="107" t="s">
        <v>593</v>
      </c>
      <c r="B683" s="415" t="str">
        <f>HYPERLINK("https://uva.onlinejudge.org/index.php?option=onlinejudge&amp;page=show_problem&amp;problem=1410","UVA 10469")</f>
        <v>UVA 10469</v>
      </c>
      <c r="C683" s="185"/>
      <c r="D683" s="185"/>
      <c r="E683" s="185"/>
      <c r="F683" s="185"/>
      <c r="G683" s="185"/>
      <c r="H683" s="186"/>
      <c r="I683" s="81">
        <f t="shared" si="1"/>
        <v>0</v>
      </c>
      <c r="J683" s="86"/>
      <c r="K683" s="80"/>
      <c r="L683" s="86"/>
      <c r="M683" s="432" t="str">
        <f>HYPERLINK("https://github.com/Diusrex/UVA-Solutions/blob/master/10469%20To%20Carry%20or%20not%20to%20Carry.cpp","Sol")</f>
        <v>Sol</v>
      </c>
      <c r="N683" s="412" t="s">
        <v>1618</v>
      </c>
      <c r="O683" s="412">
        <v>87.0</v>
      </c>
      <c r="P683" s="412">
        <v>2.0</v>
      </c>
    </row>
    <row r="684">
      <c r="A684" s="107" t="s">
        <v>403</v>
      </c>
      <c r="B684" s="415" t="str">
        <f>HYPERLINK("https://uva.onlinejudge.org/index.php?option=onlinejudge&amp;page=show_problem&amp;problem=654","UVA 713")</f>
        <v>UVA 713</v>
      </c>
      <c r="C684" s="185"/>
      <c r="D684" s="185"/>
      <c r="E684" s="185"/>
      <c r="F684" s="185"/>
      <c r="G684" s="185"/>
      <c r="H684" s="186"/>
      <c r="I684" s="81">
        <f t="shared" si="1"/>
        <v>0</v>
      </c>
      <c r="J684" s="86"/>
      <c r="K684" s="80"/>
      <c r="L684" s="86"/>
      <c r="M684" s="448" t="s">
        <v>404</v>
      </c>
      <c r="N684" s="412" t="s">
        <v>1618</v>
      </c>
      <c r="O684" s="412">
        <v>87.0</v>
      </c>
      <c r="P684" s="412">
        <v>2.0</v>
      </c>
    </row>
    <row r="685">
      <c r="A685" s="107" t="s">
        <v>427</v>
      </c>
      <c r="B685" s="415" t="str">
        <f>HYPERLINK("http://codeforces.com/contest/476/problem/B","CF476-D2-B")</f>
        <v>CF476-D2-B</v>
      </c>
      <c r="C685" s="185"/>
      <c r="D685" s="185"/>
      <c r="E685" s="185"/>
      <c r="F685" s="185"/>
      <c r="G685" s="185"/>
      <c r="H685" s="186"/>
      <c r="I685" s="81">
        <f t="shared" si="1"/>
        <v>0</v>
      </c>
      <c r="J685" s="86"/>
      <c r="K685" s="80"/>
      <c r="L685" s="185"/>
      <c r="M685" s="418" t="str">
        <f>HYPERLINK("https://www.youtube.com/watch?v=uzA2fH9Ol7I&amp;feature=youtu.be","Video Solution - Eng Mohamed Adel")</f>
        <v>Video Solution - Eng Mohamed Adel</v>
      </c>
      <c r="N685" s="287" t="s">
        <v>1622</v>
      </c>
      <c r="O685" s="287">
        <v>87.0</v>
      </c>
      <c r="P685" s="412">
        <v>2.0</v>
      </c>
      <c r="Q685" s="21" t="s">
        <v>1237</v>
      </c>
    </row>
    <row r="686">
      <c r="A686" s="107"/>
      <c r="B686" s="415" t="str">
        <f>HYPERLINK("https://codeforces.com/contest/1051/problem/B", "CF1051-D2-B")</f>
        <v>CF1051-D2-B</v>
      </c>
      <c r="C686" s="185"/>
      <c r="D686" s="185"/>
      <c r="E686" s="185"/>
      <c r="F686" s="185"/>
      <c r="G686" s="185"/>
      <c r="H686" s="186"/>
      <c r="I686" s="81">
        <f t="shared" si="1"/>
        <v>0</v>
      </c>
      <c r="J686" s="126"/>
      <c r="K686" s="125"/>
      <c r="L686" s="185"/>
      <c r="M686" s="433"/>
      <c r="N686" s="412" t="s">
        <v>1618</v>
      </c>
      <c r="O686" s="412">
        <v>87.0</v>
      </c>
      <c r="P686" s="287">
        <v>2.5</v>
      </c>
    </row>
    <row r="687">
      <c r="A687" s="107" t="s">
        <v>434</v>
      </c>
      <c r="B687" s="415" t="str">
        <f>HYPERLINK("http://codeforces.com/contest/148/problem/B","CF148-D2-B")</f>
        <v>CF148-D2-B</v>
      </c>
      <c r="C687" s="185"/>
      <c r="D687" s="185"/>
      <c r="E687" s="185"/>
      <c r="F687" s="185"/>
      <c r="G687" s="185"/>
      <c r="H687" s="186"/>
      <c r="I687" s="81">
        <f t="shared" si="1"/>
        <v>0</v>
      </c>
      <c r="J687" s="86"/>
      <c r="K687" s="80"/>
      <c r="L687" s="185"/>
      <c r="M687" s="257"/>
      <c r="N687" s="412" t="s">
        <v>1618</v>
      </c>
      <c r="O687" s="412">
        <v>87.0</v>
      </c>
      <c r="P687" s="287">
        <v>2.5</v>
      </c>
    </row>
    <row r="688">
      <c r="A688" s="107" t="s">
        <v>759</v>
      </c>
      <c r="B688" s="415" t="str">
        <f>HYPERLINK("http://codeforces.com/contest/675/problem/B","CF675-D2-B")</f>
        <v>CF675-D2-B</v>
      </c>
      <c r="C688" s="185"/>
      <c r="D688" s="185"/>
      <c r="E688" s="185"/>
      <c r="F688" s="185"/>
      <c r="G688" s="185"/>
      <c r="H688" s="186"/>
      <c r="I688" s="81">
        <f t="shared" si="1"/>
        <v>0</v>
      </c>
      <c r="J688" s="86"/>
      <c r="K688" s="80"/>
      <c r="L688" s="120"/>
      <c r="M688" s="257"/>
      <c r="N688" s="412" t="s">
        <v>1618</v>
      </c>
      <c r="O688" s="412">
        <v>87.0</v>
      </c>
      <c r="P688" s="287">
        <v>2.5</v>
      </c>
    </row>
    <row r="689">
      <c r="A689" s="107" t="s">
        <v>394</v>
      </c>
      <c r="B689" s="415" t="str">
        <f>HYPERLINK("http://codeforces.com/contest/463/problem/B","CF463-D2-B")</f>
        <v>CF463-D2-B</v>
      </c>
      <c r="C689" s="185"/>
      <c r="D689" s="185"/>
      <c r="E689" s="185"/>
      <c r="F689" s="185"/>
      <c r="G689" s="185"/>
      <c r="H689" s="186"/>
      <c r="I689" s="81">
        <f t="shared" si="1"/>
        <v>0</v>
      </c>
      <c r="J689" s="86"/>
      <c r="K689" s="80"/>
      <c r="L689" s="185"/>
      <c r="M689" s="418" t="str">
        <f>HYPERLINK("https://www.youtube.com/watch?v=c6X5U5HATAA","Video Solution - Eng Muntaser Abukadeja")</f>
        <v>Video Solution - Eng Muntaser Abukadeja</v>
      </c>
      <c r="N689" s="412" t="s">
        <v>1623</v>
      </c>
      <c r="O689" s="412">
        <v>87.0</v>
      </c>
      <c r="P689" s="287">
        <v>2.5</v>
      </c>
    </row>
    <row r="690">
      <c r="A690" s="107" t="s">
        <v>633</v>
      </c>
      <c r="B690" s="415" t="str">
        <f>HYPERLINK("http://codeforces.com/contest/230/problem/B","CF230-D2-B")</f>
        <v>CF230-D2-B</v>
      </c>
      <c r="C690" s="185"/>
      <c r="D690" s="185"/>
      <c r="E690" s="185"/>
      <c r="F690" s="185"/>
      <c r="G690" s="185"/>
      <c r="H690" s="186"/>
      <c r="I690" s="81">
        <f t="shared" si="1"/>
        <v>0</v>
      </c>
      <c r="J690" s="86"/>
      <c r="K690" s="80"/>
      <c r="L690" s="185"/>
      <c r="M690" s="431"/>
      <c r="N690" s="412" t="s">
        <v>1624</v>
      </c>
      <c r="O690" s="412">
        <v>87.0</v>
      </c>
      <c r="P690" s="287">
        <v>2.5</v>
      </c>
    </row>
    <row r="691">
      <c r="A691" s="107"/>
      <c r="B691" s="415" t="str">
        <f>HYPERLINK("https://www.codechef.com/problems/GCDMOD", "CODECHEF GCDMOD")</f>
        <v>CODECHEF GCDMOD</v>
      </c>
      <c r="C691" s="185"/>
      <c r="D691" s="185"/>
      <c r="E691" s="185"/>
      <c r="F691" s="185"/>
      <c r="G691" s="185"/>
      <c r="H691" s="186"/>
      <c r="I691" s="81">
        <f t="shared" si="1"/>
        <v>0</v>
      </c>
      <c r="J691" s="126"/>
      <c r="K691" s="125"/>
      <c r="L691" s="185"/>
      <c r="M691" s="427" t="str">
        <f>HYPERLINK("https://github.com/tmwilliamlin168/CompetitiveProgramming/blob/master/CodeChef/GCDMOD.cpp","Sol uses __int128 to avoid overflow")</f>
        <v>Sol uses __int128 to avoid overflow</v>
      </c>
      <c r="N691" s="412" t="s">
        <v>1625</v>
      </c>
      <c r="O691" s="412">
        <v>87.0</v>
      </c>
      <c r="P691" s="412">
        <v>3.0</v>
      </c>
      <c r="Q691" s="21" t="s">
        <v>1237</v>
      </c>
    </row>
    <row r="692">
      <c r="A692" s="107" t="s">
        <v>630</v>
      </c>
      <c r="B692" s="415" t="str">
        <f>HYPERLINK("http://codeforces.com/contest/534/problem/C","CF534-D2-C")</f>
        <v>CF534-D2-C</v>
      </c>
      <c r="C692" s="185"/>
      <c r="D692" s="185"/>
      <c r="E692" s="185"/>
      <c r="F692" s="185"/>
      <c r="G692" s="185"/>
      <c r="H692" s="186"/>
      <c r="I692" s="81">
        <f t="shared" si="1"/>
        <v>0</v>
      </c>
      <c r="J692" s="86"/>
      <c r="K692" s="80"/>
      <c r="L692" s="185"/>
      <c r="M692" s="254" t="str">
        <f>HYPERLINK("https://codeforces.com/contest/534/submission/61924545","Sol")</f>
        <v>Sol</v>
      </c>
      <c r="N692" s="412" t="s">
        <v>1626</v>
      </c>
      <c r="O692" s="412">
        <v>87.0</v>
      </c>
      <c r="P692" s="412">
        <v>3.0</v>
      </c>
      <c r="Q692" s="21" t="s">
        <v>1237</v>
      </c>
    </row>
    <row r="693">
      <c r="A693" s="107"/>
      <c r="B693" s="415" t="str">
        <f>HYPERLINK("https://codeforces.com/contest/1059/problem/C","CF1059-D2-C")</f>
        <v>CF1059-D2-C</v>
      </c>
      <c r="C693" s="185"/>
      <c r="D693" s="185"/>
      <c r="E693" s="185"/>
      <c r="F693" s="185"/>
      <c r="G693" s="185"/>
      <c r="H693" s="186"/>
      <c r="I693" s="81">
        <f t="shared" si="1"/>
        <v>0</v>
      </c>
      <c r="J693" s="126"/>
      <c r="K693" s="125"/>
      <c r="L693" s="120"/>
      <c r="M693" s="431"/>
      <c r="N693" s="412" t="s">
        <v>1627</v>
      </c>
      <c r="O693" s="412">
        <v>87.0</v>
      </c>
      <c r="P693" s="412">
        <v>4.0</v>
      </c>
      <c r="Q693" s="21" t="s">
        <v>1237</v>
      </c>
    </row>
    <row r="694">
      <c r="A694" s="107" t="s">
        <v>939</v>
      </c>
      <c r="B694" s="415" t="str">
        <f>HYPERLINK("https://uva.onlinejudge.org/index.php?option=com_onlinejudge&amp;Itemid=8&amp;page=show_problem&amp;problem=1647","UVA 10706")</f>
        <v>UVA 10706</v>
      </c>
      <c r="C694" s="185"/>
      <c r="D694" s="185"/>
      <c r="E694" s="185"/>
      <c r="F694" s="185"/>
      <c r="G694" s="185"/>
      <c r="H694" s="186"/>
      <c r="I694" s="81">
        <f t="shared" si="1"/>
        <v>0</v>
      </c>
      <c r="J694" s="126"/>
      <c r="K694" s="125"/>
      <c r="L694" s="185"/>
      <c r="M694" s="435"/>
      <c r="N694" s="412" t="s">
        <v>1618</v>
      </c>
      <c r="O694" s="412">
        <v>87.0</v>
      </c>
      <c r="P694" s="412">
        <v>4.0</v>
      </c>
      <c r="Q694" s="21" t="s">
        <v>1235</v>
      </c>
    </row>
    <row r="695">
      <c r="A695" s="107" t="s">
        <v>978</v>
      </c>
      <c r="B695" s="415" t="str">
        <f>HYPERLINK("http://codeforces.com/contest/376/problem/C","CF376-D2-C")</f>
        <v>CF376-D2-C</v>
      </c>
      <c r="C695" s="185"/>
      <c r="D695" s="185"/>
      <c r="E695" s="185"/>
      <c r="F695" s="185"/>
      <c r="G695" s="185"/>
      <c r="H695" s="186"/>
      <c r="I695" s="81">
        <f t="shared" si="1"/>
        <v>0</v>
      </c>
      <c r="J695" s="126"/>
      <c r="K695" s="125"/>
      <c r="L695" s="185"/>
      <c r="M695" s="424"/>
      <c r="N695" s="412" t="s">
        <v>1628</v>
      </c>
      <c r="O695" s="412">
        <v>87.0</v>
      </c>
      <c r="P695" s="412">
        <v>4.0</v>
      </c>
      <c r="Q695" s="21" t="s">
        <v>1235</v>
      </c>
    </row>
    <row r="696">
      <c r="A696" s="107" t="s">
        <v>671</v>
      </c>
      <c r="B696" s="415" t="str">
        <f>HYPERLINK("https://uva.onlinejudge.org/index.php?option=com_onlinejudge&amp;Itemid=8&amp;page=show_problem&amp;problem=1917","UVA 10976")</f>
        <v>UVA 10976</v>
      </c>
      <c r="C696" s="185"/>
      <c r="D696" s="185"/>
      <c r="E696" s="185"/>
      <c r="F696" s="185"/>
      <c r="G696" s="185"/>
      <c r="H696" s="186"/>
      <c r="I696" s="81">
        <f t="shared" si="1"/>
        <v>0</v>
      </c>
      <c r="J696" s="86"/>
      <c r="K696" s="80"/>
      <c r="L696" s="185"/>
      <c r="M696" s="417" t="str">
        <f>HYPERLINK("https://github.com/magdy-hasan/competitive-programming/blob/master/uva-/uva%2010976%20-%20Fractions%20Again!.cpp","Sol to read")</f>
        <v>Sol to read</v>
      </c>
      <c r="N696" s="412" t="s">
        <v>1628</v>
      </c>
      <c r="O696" s="412">
        <v>87.0</v>
      </c>
      <c r="P696" s="412">
        <v>4.0</v>
      </c>
      <c r="Q696" s="21" t="s">
        <v>1231</v>
      </c>
    </row>
    <row r="697">
      <c r="A697" s="107" t="s">
        <v>929</v>
      </c>
      <c r="B697" s="415" t="str">
        <f>HYPERLINK("http://codeforces.com/contest/186/problem/C","CF186-D2-C")</f>
        <v>CF186-D2-C</v>
      </c>
      <c r="C697" s="185"/>
      <c r="D697" s="185"/>
      <c r="E697" s="185"/>
      <c r="F697" s="185"/>
      <c r="G697" s="185"/>
      <c r="H697" s="186"/>
      <c r="I697" s="81">
        <f t="shared" si="1"/>
        <v>0</v>
      </c>
      <c r="J697" s="126"/>
      <c r="K697" s="125"/>
      <c r="L697" s="185"/>
      <c r="M697" s="430"/>
      <c r="N697" s="412" t="s">
        <v>1618</v>
      </c>
      <c r="O697" s="412">
        <v>87.0</v>
      </c>
      <c r="P697" s="412">
        <v>4.0</v>
      </c>
    </row>
    <row r="698">
      <c r="A698" s="107" t="s">
        <v>611</v>
      </c>
      <c r="B698" s="415" t="str">
        <f>HYPERLINK("http://codeforces.com/contest/424/problem/C","CF424-D2-C")</f>
        <v>CF424-D2-C</v>
      </c>
      <c r="C698" s="185"/>
      <c r="D698" s="185"/>
      <c r="E698" s="185"/>
      <c r="F698" s="185"/>
      <c r="G698" s="185"/>
      <c r="H698" s="186"/>
      <c r="I698" s="81">
        <f t="shared" si="1"/>
        <v>0</v>
      </c>
      <c r="J698" s="86"/>
      <c r="K698" s="80"/>
      <c r="L698" s="185"/>
      <c r="M698" s="257"/>
      <c r="N698" s="412" t="s">
        <v>1618</v>
      </c>
      <c r="O698" s="412">
        <v>87.0</v>
      </c>
      <c r="P698" s="412">
        <v>4.0</v>
      </c>
    </row>
    <row r="699">
      <c r="A699" s="107" t="s">
        <v>578</v>
      </c>
      <c r="B699" s="415" t="str">
        <f>HYPERLINK("http://codeforces.com/contest/588/problem/B","CF588-D2-B")</f>
        <v>CF588-D2-B</v>
      </c>
      <c r="C699" s="185"/>
      <c r="D699" s="185"/>
      <c r="E699" s="185"/>
      <c r="F699" s="185"/>
      <c r="G699" s="185"/>
      <c r="H699" s="186"/>
      <c r="I699" s="81">
        <f t="shared" si="1"/>
        <v>0</v>
      </c>
      <c r="J699" s="86"/>
      <c r="K699" s="80"/>
      <c r="L699" s="185"/>
      <c r="M699" s="430"/>
      <c r="N699" s="412" t="s">
        <v>1618</v>
      </c>
      <c r="O699" s="412">
        <v>87.0</v>
      </c>
      <c r="P699" s="412">
        <v>4.0</v>
      </c>
    </row>
    <row r="700">
      <c r="A700" s="107" t="s">
        <v>213</v>
      </c>
      <c r="B700" s="415" t="str">
        <f>HYPERLINK("https://uva.onlinejudge.org/index.php?option=com_onlinejudge&amp;Itemid=8&amp;page=show_problem&amp;problem=1051","UVA 10110")</f>
        <v>UVA 10110</v>
      </c>
      <c r="C700" s="185"/>
      <c r="D700" s="185"/>
      <c r="E700" s="185"/>
      <c r="F700" s="185"/>
      <c r="G700" s="185"/>
      <c r="H700" s="186"/>
      <c r="I700" s="81">
        <f t="shared" si="1"/>
        <v>0</v>
      </c>
      <c r="J700" s="126"/>
      <c r="K700" s="80"/>
      <c r="L700" s="126"/>
      <c r="M700" s="425" t="str">
        <f>HYPERLINK("https://www.youtube.com/watch?v=6unjJwXC5gI&amp;feature=youtu.be","Video Solution - Eng Amr Saud")</f>
        <v>Video Solution - Eng Amr Saud</v>
      </c>
      <c r="N700" s="412" t="s">
        <v>1618</v>
      </c>
      <c r="O700" s="412">
        <v>87.0</v>
      </c>
      <c r="P700" s="412">
        <v>4.0</v>
      </c>
    </row>
    <row r="701">
      <c r="A701" s="107" t="s">
        <v>733</v>
      </c>
      <c r="B701" s="415" t="str">
        <f>HYPERLINK("https://uva.onlinejudge.org/index.php?option=com_onlinejudge&amp;Itemid=8&amp;page=show_problem&amp;problem=49","UVA 113")</f>
        <v>UVA 113</v>
      </c>
      <c r="C701" s="185"/>
      <c r="D701" s="185"/>
      <c r="E701" s="185"/>
      <c r="F701" s="185"/>
      <c r="G701" s="185"/>
      <c r="H701" s="186"/>
      <c r="I701" s="81">
        <f t="shared" si="1"/>
        <v>0</v>
      </c>
      <c r="J701" s="86"/>
      <c r="K701" s="80"/>
      <c r="L701" s="185"/>
      <c r="M701" s="269" t="str">
        <f>HYPERLINK("https://github.com/magdy-hasan/competitive-programming/blob/master/uva-/uva%20113%20-%20Power%20of%20Cryptography.cpp","Sol to read")</f>
        <v>Sol to read</v>
      </c>
      <c r="N701" s="444" t="s">
        <v>1629</v>
      </c>
      <c r="O701" s="412">
        <v>87.0</v>
      </c>
      <c r="P701" s="412">
        <v>4.0</v>
      </c>
      <c r="Q701" s="21" t="s">
        <v>1237</v>
      </c>
    </row>
    <row r="702">
      <c r="A702" s="107" t="s">
        <v>602</v>
      </c>
      <c r="B702" s="415" t="str">
        <f>HYPERLINK("http://codeforces.com/contest/71/problem/C","CF71-D2-C")</f>
        <v>CF71-D2-C</v>
      </c>
      <c r="C702" s="185"/>
      <c r="D702" s="185"/>
      <c r="E702" s="185"/>
      <c r="F702" s="185"/>
      <c r="G702" s="185"/>
      <c r="H702" s="186"/>
      <c r="I702" s="81">
        <f t="shared" si="1"/>
        <v>0</v>
      </c>
      <c r="J702" s="86"/>
      <c r="K702" s="80"/>
      <c r="L702" s="185"/>
      <c r="M702" s="428"/>
      <c r="N702" s="412" t="s">
        <v>1630</v>
      </c>
      <c r="O702" s="412">
        <v>87.0</v>
      </c>
      <c r="P702" s="412">
        <v>4.0</v>
      </c>
    </row>
    <row r="703">
      <c r="A703" s="107" t="s">
        <v>574</v>
      </c>
      <c r="B703" s="415" t="str">
        <f>HYPERLINK("http://codeforces.com/contest/304/problem/C","CF304-D2-C")</f>
        <v>CF304-D2-C</v>
      </c>
      <c r="C703" s="185"/>
      <c r="D703" s="185"/>
      <c r="E703" s="185"/>
      <c r="F703" s="185"/>
      <c r="G703" s="185"/>
      <c r="H703" s="186"/>
      <c r="I703" s="81">
        <f t="shared" si="1"/>
        <v>0</v>
      </c>
      <c r="J703" s="126"/>
      <c r="K703" s="125"/>
      <c r="L703" s="185"/>
      <c r="M703" s="430"/>
      <c r="N703" s="412" t="s">
        <v>1627</v>
      </c>
      <c r="O703" s="412">
        <v>87.0</v>
      </c>
      <c r="P703" s="412">
        <v>4.0</v>
      </c>
    </row>
    <row r="704">
      <c r="A704" s="107" t="s">
        <v>601</v>
      </c>
      <c r="B704" s="415" t="str">
        <f>HYPERLINK("http://codeforces.com/contest/577/problem/C","CF577-D2-C")</f>
        <v>CF577-D2-C</v>
      </c>
      <c r="C704" s="185"/>
      <c r="D704" s="185"/>
      <c r="E704" s="185"/>
      <c r="F704" s="185"/>
      <c r="G704" s="185"/>
      <c r="H704" s="186"/>
      <c r="I704" s="81">
        <f t="shared" si="1"/>
        <v>0</v>
      </c>
      <c r="J704" s="86"/>
      <c r="K704" s="80"/>
      <c r="L704" s="185"/>
      <c r="M704" s="431"/>
      <c r="N704" s="412" t="s">
        <v>1623</v>
      </c>
      <c r="O704" s="412">
        <v>87.0</v>
      </c>
      <c r="P704" s="412">
        <v>4.0</v>
      </c>
      <c r="Q704" s="21" t="s">
        <v>1235</v>
      </c>
    </row>
    <row r="705">
      <c r="A705" s="107"/>
      <c r="B705" s="167" t="str">
        <f>HYPERLINK("https://codeforces.com/contest/1239/problem/A","CF1239-D1-A")</f>
        <v>CF1239-D1-A</v>
      </c>
      <c r="C705" s="185"/>
      <c r="D705" s="185"/>
      <c r="E705" s="185"/>
      <c r="F705" s="185"/>
      <c r="G705" s="185"/>
      <c r="H705" s="186"/>
      <c r="I705" s="81">
        <f t="shared" si="1"/>
        <v>0</v>
      </c>
      <c r="J705" s="86"/>
      <c r="K705" s="80"/>
      <c r="L705" s="185"/>
      <c r="M705" s="428"/>
      <c r="N705" s="412" t="s">
        <v>1631</v>
      </c>
      <c r="O705" s="412">
        <v>87.0</v>
      </c>
      <c r="P705" s="412">
        <v>4.25</v>
      </c>
      <c r="Q705" s="21" t="s">
        <v>1237</v>
      </c>
    </row>
    <row r="706">
      <c r="A706" s="107" t="s">
        <v>1023</v>
      </c>
      <c r="B706" s="415" t="str">
        <f>HYPERLINK("https://uva.onlinejudge.org/index.php?option=com_onlinejudge&amp;Itemid=8&amp;page=show_problem&amp;problem=966","UVA 10025")</f>
        <v>UVA 10025</v>
      </c>
      <c r="C706" s="185"/>
      <c r="D706" s="185"/>
      <c r="E706" s="185"/>
      <c r="F706" s="185"/>
      <c r="G706" s="185"/>
      <c r="H706" s="186"/>
      <c r="I706" s="81">
        <f t="shared" si="1"/>
        <v>0</v>
      </c>
      <c r="J706" s="86"/>
      <c r="K706" s="80"/>
      <c r="L706" s="185"/>
      <c r="M706" s="428"/>
      <c r="N706" s="412" t="s">
        <v>1632</v>
      </c>
      <c r="O706" s="412">
        <v>87.0</v>
      </c>
      <c r="P706" s="412">
        <v>4.5</v>
      </c>
      <c r="Q706" s="21" t="s">
        <v>1235</v>
      </c>
    </row>
    <row r="707">
      <c r="A707" s="107" t="s">
        <v>1633</v>
      </c>
      <c r="B707" s="415" t="str">
        <f>HYPERLINK("http://codeforces.com/contest/334/problem/C","CF334-D2-C")</f>
        <v>CF334-D2-C</v>
      </c>
      <c r="C707" s="185"/>
      <c r="D707" s="185"/>
      <c r="E707" s="185"/>
      <c r="F707" s="185"/>
      <c r="G707" s="185"/>
      <c r="H707" s="186"/>
      <c r="I707" s="81">
        <f t="shared" si="1"/>
        <v>0</v>
      </c>
      <c r="J707" s="86"/>
      <c r="K707" s="80"/>
      <c r="L707" s="185"/>
      <c r="M707" s="428"/>
      <c r="N707" s="412" t="s">
        <v>1618</v>
      </c>
      <c r="O707" s="412">
        <v>87.0</v>
      </c>
      <c r="P707" s="412">
        <v>4.5</v>
      </c>
    </row>
    <row r="708">
      <c r="A708" s="107" t="s">
        <v>682</v>
      </c>
      <c r="B708" s="415" t="str">
        <f>HYPERLINK("http://codeforces.com/contest/834/problem/C","CF834-D2-C")</f>
        <v>CF834-D2-C</v>
      </c>
      <c r="C708" s="185"/>
      <c r="D708" s="185"/>
      <c r="E708" s="185"/>
      <c r="F708" s="185"/>
      <c r="G708" s="185"/>
      <c r="H708" s="186"/>
      <c r="I708" s="81">
        <f t="shared" si="1"/>
        <v>0</v>
      </c>
      <c r="J708" s="86"/>
      <c r="K708" s="80"/>
      <c r="L708" s="185"/>
      <c r="M708" s="418" t="str">
        <f>HYPERLINK("https://www.youtube.com/watch?v=tge-NMPdndc","Video Solution - Solver to be (Java)")</f>
        <v>Video Solution - Solver to be (Java)</v>
      </c>
      <c r="N708" s="412" t="s">
        <v>1618</v>
      </c>
      <c r="O708" s="412">
        <v>87.0</v>
      </c>
      <c r="P708" s="412">
        <v>4.5</v>
      </c>
    </row>
    <row r="709">
      <c r="A709" s="107" t="s">
        <v>615</v>
      </c>
      <c r="B709" s="415" t="str">
        <f>HYPERLINK("http://codeforces.com/contest/353/problem/C","CF353-D2-C")</f>
        <v>CF353-D2-C</v>
      </c>
      <c r="C709" s="185"/>
      <c r="D709" s="185"/>
      <c r="E709" s="185"/>
      <c r="F709" s="185"/>
      <c r="G709" s="185"/>
      <c r="H709" s="186"/>
      <c r="I709" s="81">
        <f t="shared" si="1"/>
        <v>0</v>
      </c>
      <c r="J709" s="86"/>
      <c r="K709" s="80"/>
      <c r="L709" s="185"/>
      <c r="M709" s="431"/>
      <c r="N709" s="412" t="s">
        <v>1634</v>
      </c>
      <c r="O709" s="412">
        <v>87.0</v>
      </c>
      <c r="P709" s="412">
        <v>4.5</v>
      </c>
    </row>
    <row r="710">
      <c r="A710" s="107" t="s">
        <v>1143</v>
      </c>
      <c r="B710" s="415" t="str">
        <f>HYPERLINK("http://codeforces.com/contest/716/problem/C","CF716-D2-C")</f>
        <v>CF716-D2-C</v>
      </c>
      <c r="C710" s="185"/>
      <c r="D710" s="185"/>
      <c r="E710" s="185"/>
      <c r="F710" s="185"/>
      <c r="G710" s="185"/>
      <c r="H710" s="186"/>
      <c r="I710" s="81">
        <f t="shared" si="1"/>
        <v>0</v>
      </c>
      <c r="J710" s="86"/>
      <c r="K710" s="80"/>
      <c r="L710" s="434"/>
      <c r="M710" s="430"/>
      <c r="N710" s="412" t="s">
        <v>1627</v>
      </c>
      <c r="O710" s="412">
        <v>87.0</v>
      </c>
      <c r="P710" s="412">
        <v>4.5</v>
      </c>
    </row>
    <row r="711">
      <c r="A711" s="107" t="s">
        <v>1000</v>
      </c>
      <c r="B711" s="415" t="str">
        <f>HYPERLINK("http://codeforces.com/contest/680/problem/C","CF680-D2-C")</f>
        <v>CF680-D2-C</v>
      </c>
      <c r="C711" s="185"/>
      <c r="D711" s="185"/>
      <c r="E711" s="185"/>
      <c r="F711" s="185"/>
      <c r="G711" s="185"/>
      <c r="H711" s="186"/>
      <c r="I711" s="81">
        <f t="shared" si="1"/>
        <v>0</v>
      </c>
      <c r="J711" s="126"/>
      <c r="K711" s="125"/>
      <c r="L711" s="185"/>
      <c r="M711" s="430"/>
      <c r="N711" s="412" t="s">
        <v>1635</v>
      </c>
      <c r="O711" s="412">
        <v>87.0</v>
      </c>
      <c r="P711" s="412">
        <v>4.5</v>
      </c>
    </row>
    <row r="712">
      <c r="A712" s="107"/>
      <c r="B712" s="415" t="str">
        <f>HYPERLINK("http://codeforces.com/contest/1040/problem/D","CF1040-D2-D")</f>
        <v>CF1040-D2-D</v>
      </c>
      <c r="C712" s="185"/>
      <c r="D712" s="185"/>
      <c r="E712" s="185"/>
      <c r="F712" s="185"/>
      <c r="G712" s="185"/>
      <c r="H712" s="186"/>
      <c r="I712" s="81">
        <f t="shared" si="1"/>
        <v>0</v>
      </c>
      <c r="J712" s="126"/>
      <c r="K712" s="125"/>
      <c r="L712" s="185"/>
      <c r="M712" s="424"/>
      <c r="N712" s="412" t="s">
        <v>1636</v>
      </c>
      <c r="O712" s="412">
        <v>87.0</v>
      </c>
      <c r="P712" s="412">
        <v>5.0</v>
      </c>
      <c r="Q712" s="21" t="s">
        <v>1262</v>
      </c>
    </row>
    <row r="713">
      <c r="A713" s="107" t="s">
        <v>997</v>
      </c>
      <c r="B713" s="415" t="str">
        <f>HYPERLINK("http://codeforces.com/contest/451/problem/D","CF451-D2-D")</f>
        <v>CF451-D2-D</v>
      </c>
      <c r="C713" s="185"/>
      <c r="D713" s="185"/>
      <c r="E713" s="185"/>
      <c r="F713" s="185"/>
      <c r="G713" s="185"/>
      <c r="H713" s="186"/>
      <c r="I713" s="81">
        <f t="shared" si="1"/>
        <v>0</v>
      </c>
      <c r="J713" s="86"/>
      <c r="K713" s="80"/>
      <c r="L713" s="185"/>
      <c r="M713" s="107"/>
      <c r="N713" s="412" t="s">
        <v>1637</v>
      </c>
      <c r="O713" s="412">
        <v>87.0</v>
      </c>
      <c r="P713" s="412">
        <v>5.0</v>
      </c>
      <c r="Q713" s="21" t="s">
        <v>1237</v>
      </c>
    </row>
    <row r="714">
      <c r="A714" s="107" t="s">
        <v>911</v>
      </c>
      <c r="B714" s="415" t="str">
        <f>HYPERLINK("http://codeforces.com/contest/535/problem/C","CF535-D2-C")</f>
        <v>CF535-D2-C</v>
      </c>
      <c r="C714" s="185"/>
      <c r="D714" s="185"/>
      <c r="E714" s="185"/>
      <c r="F714" s="185"/>
      <c r="G714" s="185"/>
      <c r="H714" s="186"/>
      <c r="I714" s="81">
        <f t="shared" si="1"/>
        <v>0</v>
      </c>
      <c r="J714" s="86"/>
      <c r="K714" s="80"/>
      <c r="L714" s="185"/>
      <c r="M714" s="433"/>
      <c r="N714" s="412" t="s">
        <v>1638</v>
      </c>
      <c r="O714" s="412">
        <v>87.0</v>
      </c>
      <c r="P714" s="412">
        <v>5.0</v>
      </c>
      <c r="Q714" s="21" t="s">
        <v>1235</v>
      </c>
    </row>
    <row r="715">
      <c r="A715" s="107" t="s">
        <v>961</v>
      </c>
      <c r="B715" s="415" t="str">
        <f>HYPERLINK("http://codeforces.com/contest/701/problem/D","CF701-D2-D")</f>
        <v>CF701-D2-D</v>
      </c>
      <c r="C715" s="185"/>
      <c r="D715" s="185"/>
      <c r="E715" s="185"/>
      <c r="F715" s="185"/>
      <c r="G715" s="185"/>
      <c r="H715" s="186"/>
      <c r="I715" s="81">
        <f t="shared" si="1"/>
        <v>0</v>
      </c>
      <c r="J715" s="126"/>
      <c r="K715" s="125"/>
      <c r="L715" s="185"/>
      <c r="M715" s="430"/>
      <c r="N715" s="412" t="s">
        <v>1639</v>
      </c>
      <c r="O715" s="412">
        <v>87.0</v>
      </c>
      <c r="P715" s="412">
        <v>5.0</v>
      </c>
      <c r="Q715" s="21" t="s">
        <v>1235</v>
      </c>
    </row>
    <row r="716">
      <c r="A716" s="107"/>
      <c r="B716" s="415" t="str">
        <f>HYPERLINK("http://codeforces.com/problemset/problem/955/C","CF955-D2-C")</f>
        <v>CF955-D2-C</v>
      </c>
      <c r="C716" s="185"/>
      <c r="D716" s="185"/>
      <c r="E716" s="185"/>
      <c r="F716" s="185"/>
      <c r="G716" s="185"/>
      <c r="H716" s="186"/>
      <c r="I716" s="81">
        <f t="shared" si="1"/>
        <v>0</v>
      </c>
      <c r="J716" s="86"/>
      <c r="K716" s="80"/>
      <c r="L716" s="185"/>
      <c r="M716" s="428"/>
      <c r="N716" s="412" t="s">
        <v>1628</v>
      </c>
      <c r="O716" s="412">
        <v>87.0</v>
      </c>
      <c r="P716" s="412">
        <v>5.0</v>
      </c>
      <c r="Q716" s="21" t="s">
        <v>1235</v>
      </c>
    </row>
    <row r="717">
      <c r="A717" s="107"/>
      <c r="B717" s="415" t="str">
        <f>HYPERLINK("http://codeforces.com/contest/45/problem/D","CF45-D12-D")</f>
        <v>CF45-D12-D</v>
      </c>
      <c r="C717" s="185"/>
      <c r="D717" s="185"/>
      <c r="E717" s="185"/>
      <c r="F717" s="185"/>
      <c r="G717" s="185"/>
      <c r="H717" s="186"/>
      <c r="I717" s="81">
        <f t="shared" si="1"/>
        <v>0</v>
      </c>
      <c r="J717" s="86"/>
      <c r="K717" s="80"/>
      <c r="L717" s="185"/>
      <c r="M717" s="433"/>
      <c r="N717" s="412" t="s">
        <v>1640</v>
      </c>
      <c r="O717" s="412">
        <v>87.0</v>
      </c>
      <c r="P717" s="412">
        <v>5.0</v>
      </c>
      <c r="Q717" s="21" t="s">
        <v>1235</v>
      </c>
    </row>
    <row r="718">
      <c r="A718" s="107" t="s">
        <v>1142</v>
      </c>
      <c r="B718" s="415" t="str">
        <f>HYPERLINK("http://codeforces.com/contest/322/problem/C","CF322-D2-C")</f>
        <v>CF322-D2-C</v>
      </c>
      <c r="C718" s="185"/>
      <c r="D718" s="185"/>
      <c r="E718" s="185"/>
      <c r="F718" s="185"/>
      <c r="G718" s="185"/>
      <c r="H718" s="186"/>
      <c r="I718" s="81">
        <f t="shared" si="1"/>
        <v>0</v>
      </c>
      <c r="J718" s="86"/>
      <c r="K718" s="80"/>
      <c r="L718" s="434"/>
      <c r="M718" s="430"/>
      <c r="N718" s="412" t="s">
        <v>1641</v>
      </c>
      <c r="O718" s="412">
        <v>87.0</v>
      </c>
      <c r="P718" s="412">
        <v>5.0</v>
      </c>
      <c r="Q718" s="21" t="s">
        <v>1231</v>
      </c>
    </row>
    <row r="719">
      <c r="A719" s="107" t="s">
        <v>648</v>
      </c>
      <c r="B719" s="415" t="str">
        <f>HYPERLINK("http://codeforces.com/contest/499/problem/C","CF499-D2-C")</f>
        <v>CF499-D2-C</v>
      </c>
      <c r="C719" s="185"/>
      <c r="D719" s="185"/>
      <c r="E719" s="185"/>
      <c r="F719" s="185"/>
      <c r="G719" s="185"/>
      <c r="H719" s="186"/>
      <c r="I719" s="81">
        <f t="shared" si="1"/>
        <v>0</v>
      </c>
      <c r="J719" s="126"/>
      <c r="K719" s="125"/>
      <c r="L719" s="185"/>
      <c r="M719" s="246" t="str">
        <f>HYPERLINK("https://www.youtube.com/watch?v=xwaGi6lx6Fg","Video Solution - Dr Mostafa Saad")</f>
        <v>Video Solution - Dr Mostafa Saad</v>
      </c>
      <c r="N719" s="412" t="s">
        <v>1642</v>
      </c>
      <c r="O719" s="412">
        <v>87.0</v>
      </c>
      <c r="P719" s="412">
        <v>5.0</v>
      </c>
      <c r="Q719" s="21" t="s">
        <v>1231</v>
      </c>
    </row>
    <row r="720">
      <c r="A720" s="107" t="s">
        <v>808</v>
      </c>
      <c r="B720" s="415" t="str">
        <f>HYPERLINK("http://codeforces.com/contest/199/problem/C","CF199-D2-C")</f>
        <v>CF199-D2-C</v>
      </c>
      <c r="C720" s="185"/>
      <c r="D720" s="185"/>
      <c r="E720" s="185"/>
      <c r="F720" s="185"/>
      <c r="G720" s="185"/>
      <c r="H720" s="186"/>
      <c r="I720" s="81">
        <f t="shared" si="1"/>
        <v>0</v>
      </c>
      <c r="J720" s="126"/>
      <c r="K720" s="125"/>
      <c r="L720" s="185"/>
      <c r="M720" s="431"/>
      <c r="N720" s="412" t="s">
        <v>1618</v>
      </c>
      <c r="O720" s="412">
        <v>87.0</v>
      </c>
      <c r="P720" s="412">
        <v>5.0</v>
      </c>
    </row>
    <row r="721">
      <c r="A721" s="107" t="s">
        <v>809</v>
      </c>
      <c r="B721" s="415" t="str">
        <f>HYPERLINK("http://codeforces.com/contest/520/problem/C","CF520-D2-C")</f>
        <v>CF520-D2-C</v>
      </c>
      <c r="C721" s="185"/>
      <c r="D721" s="185"/>
      <c r="E721" s="185"/>
      <c r="F721" s="185"/>
      <c r="G721" s="185"/>
      <c r="H721" s="186"/>
      <c r="I721" s="81">
        <f t="shared" si="1"/>
        <v>0</v>
      </c>
      <c r="J721" s="126"/>
      <c r="K721" s="125"/>
      <c r="L721" s="185"/>
      <c r="M721" s="431"/>
      <c r="N721" s="412" t="s">
        <v>1618</v>
      </c>
      <c r="O721" s="412">
        <v>87.0</v>
      </c>
      <c r="P721" s="412">
        <v>5.0</v>
      </c>
    </row>
    <row r="722">
      <c r="A722" s="107" t="s">
        <v>740</v>
      </c>
      <c r="B722" s="415" t="str">
        <f>HYPERLINK("http://codeforces.com/contest/451/problem/C","CF451-D2-C")</f>
        <v>CF451-D2-C</v>
      </c>
      <c r="C722" s="185"/>
      <c r="D722" s="185"/>
      <c r="E722" s="185"/>
      <c r="F722" s="185"/>
      <c r="G722" s="185"/>
      <c r="H722" s="186"/>
      <c r="I722" s="81">
        <f t="shared" si="1"/>
        <v>0</v>
      </c>
      <c r="J722" s="86"/>
      <c r="K722" s="80"/>
      <c r="L722" s="120"/>
      <c r="M722" s="107"/>
      <c r="N722" s="412" t="s">
        <v>1643</v>
      </c>
      <c r="O722" s="412">
        <v>87.0</v>
      </c>
      <c r="P722" s="412">
        <v>5.0</v>
      </c>
      <c r="Q722" s="21" t="s">
        <v>1235</v>
      </c>
    </row>
    <row r="723">
      <c r="A723" s="107" t="s">
        <v>999</v>
      </c>
      <c r="B723" s="415" t="str">
        <f>HYPERLINK("http://codeforces.com/contest/195/problem/D","CF195-D2-D")</f>
        <v>CF195-D2-D</v>
      </c>
      <c r="C723" s="185"/>
      <c r="D723" s="185"/>
      <c r="E723" s="185"/>
      <c r="F723" s="185"/>
      <c r="G723" s="185"/>
      <c r="H723" s="186"/>
      <c r="I723" s="81">
        <f t="shared" si="1"/>
        <v>0</v>
      </c>
      <c r="J723" s="86"/>
      <c r="K723" s="80"/>
      <c r="L723" s="185"/>
      <c r="M723" s="107"/>
      <c r="N723" s="412" t="s">
        <v>1644</v>
      </c>
      <c r="O723" s="412">
        <v>87.0</v>
      </c>
      <c r="P723" s="412">
        <v>5.0</v>
      </c>
    </row>
    <row r="724">
      <c r="A724" s="107"/>
      <c r="B724" s="415" t="str">
        <f>HYPERLINK("http://codeforces.com/problemset/problem/1016/D","CF1016-D12-D")</f>
        <v>CF1016-D12-D</v>
      </c>
      <c r="C724" s="185"/>
      <c r="D724" s="185"/>
      <c r="E724" s="185"/>
      <c r="F724" s="185"/>
      <c r="G724" s="185"/>
      <c r="H724" s="186"/>
      <c r="I724" s="81">
        <f t="shared" si="1"/>
        <v>0</v>
      </c>
      <c r="J724" s="126"/>
      <c r="K724" s="125"/>
      <c r="L724" s="185"/>
      <c r="M724" s="435"/>
      <c r="N724" s="412" t="s">
        <v>1645</v>
      </c>
      <c r="O724" s="412">
        <v>87.0</v>
      </c>
      <c r="P724" s="412">
        <v>5.25</v>
      </c>
      <c r="Q724" s="21" t="s">
        <v>1237</v>
      </c>
    </row>
    <row r="725">
      <c r="A725" s="107" t="s">
        <v>903</v>
      </c>
      <c r="B725" s="415" t="str">
        <f>HYPERLINK("http://codeforces.com/contest/151/problem/D","CF151-D2-D")</f>
        <v>CF151-D2-D</v>
      </c>
      <c r="C725" s="185"/>
      <c r="D725" s="185"/>
      <c r="E725" s="185"/>
      <c r="F725" s="185"/>
      <c r="G725" s="185"/>
      <c r="H725" s="186"/>
      <c r="I725" s="81">
        <f t="shared" si="1"/>
        <v>0</v>
      </c>
      <c r="J725" s="86"/>
      <c r="K725" s="80"/>
      <c r="L725" s="185"/>
      <c r="M725" s="107"/>
      <c r="N725" s="444" t="s">
        <v>1646</v>
      </c>
      <c r="O725" s="412">
        <v>87.0</v>
      </c>
      <c r="P725" s="412">
        <v>5.5</v>
      </c>
      <c r="Q725" s="21" t="s">
        <v>1262</v>
      </c>
    </row>
    <row r="726">
      <c r="A726" s="107" t="s">
        <v>1195</v>
      </c>
      <c r="B726" s="415" t="str">
        <f>HYPERLINK("http://codeforces.com/contest/9/problem/D","CF9-D2-D")</f>
        <v>CF9-D2-D</v>
      </c>
      <c r="C726" s="185"/>
      <c r="D726" s="185"/>
      <c r="E726" s="185"/>
      <c r="F726" s="185"/>
      <c r="G726" s="185"/>
      <c r="H726" s="186"/>
      <c r="I726" s="81">
        <f t="shared" si="1"/>
        <v>0</v>
      </c>
      <c r="J726" s="126"/>
      <c r="K726" s="125"/>
      <c r="L726" s="434"/>
      <c r="M726" s="435"/>
      <c r="N726" s="412" t="s">
        <v>1647</v>
      </c>
      <c r="O726" s="412">
        <v>87.0</v>
      </c>
      <c r="P726" s="412">
        <v>5.5</v>
      </c>
      <c r="Q726" s="21" t="s">
        <v>1235</v>
      </c>
    </row>
    <row r="727">
      <c r="A727" s="107" t="s">
        <v>1043</v>
      </c>
      <c r="B727" s="415" t="str">
        <f>HYPERLINK("https://uva.onlinejudge.org/index.php?option=com_onlinejudge&amp;Itemid=8&amp;page=show_problem&amp;problem=62","UVA 126")</f>
        <v>UVA 126</v>
      </c>
      <c r="C727" s="185"/>
      <c r="D727" s="185"/>
      <c r="E727" s="185"/>
      <c r="F727" s="185"/>
      <c r="G727" s="185"/>
      <c r="H727" s="186"/>
      <c r="I727" s="81">
        <f t="shared" si="1"/>
        <v>0</v>
      </c>
      <c r="J727" s="86"/>
      <c r="K727" s="80"/>
      <c r="L727" s="434"/>
      <c r="M727" s="432" t="str">
        <f>HYPERLINK("https://github.com/abdullaAshraf/Problem-Solving/blob/master/UVA/126.cpp","Sol")</f>
        <v>Sol</v>
      </c>
      <c r="N727" s="412" t="s">
        <v>1618</v>
      </c>
      <c r="O727" s="412">
        <v>87.0</v>
      </c>
      <c r="P727" s="412">
        <v>5.5</v>
      </c>
    </row>
    <row r="728">
      <c r="A728" s="107" t="s">
        <v>640</v>
      </c>
      <c r="B728" s="415" t="str">
        <f>HYPERLINK("https://uva.onlinejudge.org/index.php?option=com_onlinejudge&amp;Itemid=8&amp;page=show_problem&amp;problem=64","UVA 128")</f>
        <v>UVA 128</v>
      </c>
      <c r="C728" s="185"/>
      <c r="D728" s="185"/>
      <c r="E728" s="185"/>
      <c r="F728" s="185"/>
      <c r="G728" s="185"/>
      <c r="H728" s="186"/>
      <c r="I728" s="81">
        <f t="shared" si="1"/>
        <v>0</v>
      </c>
      <c r="J728" s="86"/>
      <c r="K728" s="80"/>
      <c r="L728" s="185"/>
      <c r="M728" s="195" t="str">
        <f>HYPERLINK("https://www.youtube.com/watch?v=ifTqIif9WJg","Video Solution - Eng Moaz Rashad")</f>
        <v>Video Solution - Eng Moaz Rashad</v>
      </c>
      <c r="N728" s="412" t="s">
        <v>1618</v>
      </c>
      <c r="O728" s="412">
        <v>87.0</v>
      </c>
      <c r="P728" s="412">
        <v>5.5</v>
      </c>
    </row>
    <row r="729">
      <c r="A729" s="107" t="s">
        <v>1215</v>
      </c>
      <c r="B729" s="415" t="str">
        <f>HYPERLINK("http://codeforces.com/contest/352/problem/D","CF352-D2-D")</f>
        <v>CF352-D2-D</v>
      </c>
      <c r="C729" s="185"/>
      <c r="D729" s="185"/>
      <c r="E729" s="185"/>
      <c r="F729" s="185"/>
      <c r="G729" s="185"/>
      <c r="H729" s="186"/>
      <c r="I729" s="81">
        <f t="shared" si="1"/>
        <v>0</v>
      </c>
      <c r="J729" s="86"/>
      <c r="K729" s="80"/>
      <c r="L729" s="185"/>
      <c r="M729" s="432" t="str">
        <f>HYPERLINK("https://github.com/BRAINOOOO/CompetitiveProgramming/blob/0577cb43f4a000eca9870ccc375c95381224aed1/CF/CF352-D2-D","Sol")</f>
        <v>Sol</v>
      </c>
      <c r="N729" s="412" t="s">
        <v>1648</v>
      </c>
      <c r="O729" s="412">
        <v>87.0</v>
      </c>
      <c r="P729" s="412">
        <v>6.0</v>
      </c>
      <c r="Q729" s="21" t="s">
        <v>1237</v>
      </c>
    </row>
    <row r="730">
      <c r="A730" s="107" t="s">
        <v>746</v>
      </c>
      <c r="B730" s="415" t="str">
        <f>HYPERLINK("http://codeforces.com/contest/84/problem/B","CF84-D2-B")</f>
        <v>CF84-D2-B</v>
      </c>
      <c r="C730" s="185"/>
      <c r="D730" s="185"/>
      <c r="E730" s="185"/>
      <c r="F730" s="185"/>
      <c r="G730" s="185"/>
      <c r="H730" s="186"/>
      <c r="I730" s="81">
        <f t="shared" si="1"/>
        <v>0</v>
      </c>
      <c r="J730" s="86"/>
      <c r="K730" s="80"/>
      <c r="L730" s="185"/>
      <c r="M730" s="436"/>
      <c r="N730" s="412" t="s">
        <v>1649</v>
      </c>
      <c r="O730" s="412">
        <v>89.0</v>
      </c>
      <c r="P730" s="287">
        <v>2.5</v>
      </c>
    </row>
    <row r="731">
      <c r="A731" s="107" t="s">
        <v>448</v>
      </c>
      <c r="B731" s="415" t="str">
        <f>HYPERLINK("http://codeforces.com/contest/617/problem/B","CF617-D2-B")</f>
        <v>CF617-D2-B</v>
      </c>
      <c r="C731" s="185"/>
      <c r="D731" s="185"/>
      <c r="E731" s="185"/>
      <c r="F731" s="185"/>
      <c r="G731" s="185"/>
      <c r="H731" s="186"/>
      <c r="I731" s="81">
        <f t="shared" si="1"/>
        <v>0</v>
      </c>
      <c r="J731" s="86"/>
      <c r="K731" s="80"/>
      <c r="L731" s="185"/>
      <c r="M731" s="418" t="str">
        <f>HYPERLINK("https://www.youtube.com/watch?v=APkfGgJJVCc","Video Solution - Eng Yahia Ashraf")</f>
        <v>Video Solution - Eng Yahia Ashraf</v>
      </c>
      <c r="N731" s="412" t="s">
        <v>1649</v>
      </c>
      <c r="O731" s="412">
        <v>89.0</v>
      </c>
      <c r="P731" s="287">
        <v>2.5</v>
      </c>
    </row>
    <row r="732">
      <c r="A732" s="107" t="s">
        <v>415</v>
      </c>
      <c r="B732" s="415" t="str">
        <f>HYPERLINK("http://codeforces.com/contest/79/problem/B","CF79-D12-B")</f>
        <v>CF79-D12-B</v>
      </c>
      <c r="C732" s="185"/>
      <c r="D732" s="185"/>
      <c r="E732" s="185"/>
      <c r="F732" s="185"/>
      <c r="G732" s="185"/>
      <c r="H732" s="186"/>
      <c r="I732" s="81">
        <f t="shared" si="1"/>
        <v>0</v>
      </c>
      <c r="J732" s="86"/>
      <c r="K732" s="80"/>
      <c r="L732" s="185"/>
      <c r="M732" s="418" t="str">
        <f>HYPERLINK("https://www.youtube.com/watch?v=QIANdSy3nQg","Video Solution - Solver to be (Java)")</f>
        <v>Video Solution - Solver to be (Java)</v>
      </c>
      <c r="N732" s="287" t="s">
        <v>1650</v>
      </c>
      <c r="O732" s="287">
        <v>89.0</v>
      </c>
      <c r="P732" s="412">
        <v>2.5</v>
      </c>
      <c r="Q732" s="21" t="s">
        <v>1237</v>
      </c>
    </row>
    <row r="733">
      <c r="A733" s="107" t="s">
        <v>589</v>
      </c>
      <c r="B733" s="415" t="str">
        <f>HYPERLINK("http://codeforces.com/contest/131/problem/C","CF131-D2-C")</f>
        <v>CF131-D2-C</v>
      </c>
      <c r="C733" s="185"/>
      <c r="D733" s="185"/>
      <c r="E733" s="185"/>
      <c r="F733" s="185"/>
      <c r="G733" s="185"/>
      <c r="H733" s="186"/>
      <c r="I733" s="81">
        <f t="shared" si="1"/>
        <v>0</v>
      </c>
      <c r="J733" s="126"/>
      <c r="K733" s="125"/>
      <c r="L733" s="185"/>
      <c r="M733" s="202" t="str">
        <f>HYPERLINK("https://www.youtube.com/watch?v=96OYl0On3hc","Video Solution - Eng Youssef Ali")</f>
        <v>Video Solution - Eng Youssef Ali</v>
      </c>
      <c r="N733" s="412" t="s">
        <v>1649</v>
      </c>
      <c r="O733" s="412">
        <v>89.0</v>
      </c>
      <c r="P733" s="412">
        <v>4.0</v>
      </c>
    </row>
    <row r="734">
      <c r="A734" s="107" t="s">
        <v>1040</v>
      </c>
      <c r="B734" s="415" t="str">
        <f>HYPERLINK("http://codeforces.com/contest/152/problem/C","CF152-D2-C")</f>
        <v>CF152-D2-C</v>
      </c>
      <c r="C734" s="185"/>
      <c r="D734" s="185"/>
      <c r="E734" s="185"/>
      <c r="F734" s="185"/>
      <c r="G734" s="185"/>
      <c r="H734" s="186"/>
      <c r="I734" s="81">
        <f t="shared" si="1"/>
        <v>0</v>
      </c>
      <c r="J734" s="126"/>
      <c r="K734" s="125"/>
      <c r="L734" s="185"/>
      <c r="M734" s="430"/>
      <c r="N734" s="412" t="s">
        <v>1649</v>
      </c>
      <c r="O734" s="412">
        <v>89.0</v>
      </c>
      <c r="P734" s="412">
        <v>4.0</v>
      </c>
    </row>
    <row r="735">
      <c r="A735" s="107" t="s">
        <v>216</v>
      </c>
      <c r="B735" s="415" t="str">
        <f>HYPERLINK("https://uva.onlinejudge.org/index.php?option=onlinejudge&amp;page=show_problem&amp;problem=2172","UVA 11231")</f>
        <v>UVA 11231</v>
      </c>
      <c r="C735" s="185"/>
      <c r="D735" s="185"/>
      <c r="E735" s="185"/>
      <c r="F735" s="185"/>
      <c r="G735" s="185"/>
      <c r="H735" s="186"/>
      <c r="I735" s="81">
        <f t="shared" si="1"/>
        <v>0</v>
      </c>
      <c r="J735" s="126"/>
      <c r="K735" s="80"/>
      <c r="L735" s="126"/>
      <c r="M735" s="425" t="str">
        <f>HYPERLINK("https://www.youtube.com/watch?v=UNUD8qp33ic&amp;feature=youtu.be","Video Solution - Eng Amr Saud")</f>
        <v>Video Solution - Eng Amr Saud</v>
      </c>
      <c r="N735" s="412" t="s">
        <v>1651</v>
      </c>
      <c r="O735" s="412">
        <v>89.0</v>
      </c>
      <c r="P735" s="412">
        <v>4.0</v>
      </c>
    </row>
    <row r="736">
      <c r="A736" s="107"/>
      <c r="B736" s="415" t="str">
        <f>HYPERLINK("http://codeforces.com/contest/758/problem/C","CF758-D2-C")</f>
        <v>CF758-D2-C</v>
      </c>
      <c r="C736" s="185"/>
      <c r="D736" s="185"/>
      <c r="E736" s="185"/>
      <c r="F736" s="185"/>
      <c r="G736" s="185"/>
      <c r="H736" s="186"/>
      <c r="I736" s="81">
        <f t="shared" si="1"/>
        <v>0</v>
      </c>
      <c r="J736" s="86"/>
      <c r="K736" s="80"/>
      <c r="L736" s="120"/>
      <c r="M736" s="433"/>
      <c r="N736" s="412" t="s">
        <v>1649</v>
      </c>
      <c r="O736" s="412">
        <v>89.0</v>
      </c>
      <c r="P736" s="412">
        <v>5.0</v>
      </c>
      <c r="Q736" s="21" t="s">
        <v>1237</v>
      </c>
    </row>
    <row r="737">
      <c r="A737" s="107"/>
      <c r="B737" s="415" t="str">
        <f>HYPERLINK("http://codeforces.com/contest/459/problem/C","CF459-D2-C")</f>
        <v>CF459-D2-C</v>
      </c>
      <c r="C737" s="185"/>
      <c r="D737" s="185"/>
      <c r="E737" s="185"/>
      <c r="F737" s="185"/>
      <c r="G737" s="185"/>
      <c r="H737" s="186"/>
      <c r="I737" s="81">
        <f t="shared" si="1"/>
        <v>0</v>
      </c>
      <c r="J737" s="126"/>
      <c r="K737" s="125"/>
      <c r="L737" s="185"/>
      <c r="M737" s="430"/>
      <c r="N737" s="412" t="s">
        <v>1652</v>
      </c>
      <c r="O737" s="412">
        <v>89.0</v>
      </c>
      <c r="P737" s="412">
        <v>5.0</v>
      </c>
      <c r="Q737" s="21" t="s">
        <v>1237</v>
      </c>
    </row>
    <row r="738">
      <c r="A738" s="107"/>
      <c r="B738" s="415" t="str">
        <f>HYPERLINK("https://www.hackerrank.com/challenges/ajourney","HACKR ajourney")</f>
        <v>HACKR ajourney</v>
      </c>
      <c r="C738" s="185"/>
      <c r="D738" s="185"/>
      <c r="E738" s="185"/>
      <c r="F738" s="185"/>
      <c r="G738" s="185"/>
      <c r="H738" s="186"/>
      <c r="I738" s="81">
        <f t="shared" si="1"/>
        <v>0</v>
      </c>
      <c r="J738" s="126"/>
      <c r="K738" s="125"/>
      <c r="L738" s="434"/>
      <c r="M738" s="428"/>
      <c r="N738" s="412" t="s">
        <v>1653</v>
      </c>
      <c r="O738" s="412">
        <v>89.0</v>
      </c>
      <c r="P738" s="412">
        <v>5.0</v>
      </c>
      <c r="Q738" s="21" t="s">
        <v>1237</v>
      </c>
    </row>
    <row r="739">
      <c r="A739" s="107" t="s">
        <v>819</v>
      </c>
      <c r="B739" s="415" t="str">
        <f>HYPERLINK("http://codeforces.com/contest/294/problem/C","CF294-D2-C")</f>
        <v>CF294-D2-C</v>
      </c>
      <c r="C739" s="185"/>
      <c r="D739" s="185"/>
      <c r="E739" s="185"/>
      <c r="F739" s="185"/>
      <c r="G739" s="185"/>
      <c r="H739" s="186"/>
      <c r="I739" s="81">
        <f t="shared" si="1"/>
        <v>0</v>
      </c>
      <c r="J739" s="120"/>
      <c r="K739" s="185"/>
      <c r="L739" s="185"/>
      <c r="M739" s="280" t="str">
        <f>HYPERLINK("https://www.youtube.com/watch?v=xB6St1GAKUg","Video Solution - Dr Mostafa Saad")</f>
        <v>Video Solution - Dr Mostafa Saad</v>
      </c>
      <c r="N739" s="412" t="s">
        <v>1649</v>
      </c>
      <c r="O739" s="412">
        <v>89.0</v>
      </c>
      <c r="P739" s="412">
        <v>5.5</v>
      </c>
      <c r="Q739" s="21" t="s">
        <v>1262</v>
      </c>
    </row>
    <row r="740">
      <c r="A740" s="107"/>
      <c r="B740" s="415" t="str">
        <f>HYPERLINK("http://codeforces.com/problemset/problem/869/C","CF869-D2-C")</f>
        <v>CF869-D2-C</v>
      </c>
      <c r="C740" s="185"/>
      <c r="D740" s="185"/>
      <c r="E740" s="185"/>
      <c r="F740" s="185"/>
      <c r="G740" s="185"/>
      <c r="H740" s="186"/>
      <c r="I740" s="81">
        <f t="shared" si="1"/>
        <v>0</v>
      </c>
      <c r="J740" s="126"/>
      <c r="K740" s="125"/>
      <c r="L740" s="185"/>
      <c r="M740" s="195"/>
      <c r="N740" s="412" t="s">
        <v>1654</v>
      </c>
      <c r="O740" s="412">
        <v>89.0</v>
      </c>
      <c r="P740" s="412">
        <v>5.5</v>
      </c>
      <c r="Q740" s="21" t="s">
        <v>1237</v>
      </c>
    </row>
    <row r="741">
      <c r="A741" s="107" t="s">
        <v>879</v>
      </c>
      <c r="B741" s="415" t="str">
        <f>HYPERLINK("http://codeforces.com/contest/340/problem/C","CF340-D2-C")</f>
        <v>CF340-D2-C</v>
      </c>
      <c r="C741" s="185"/>
      <c r="D741" s="185"/>
      <c r="E741" s="185"/>
      <c r="F741" s="185"/>
      <c r="G741" s="185"/>
      <c r="H741" s="186"/>
      <c r="I741" s="81">
        <f t="shared" si="1"/>
        <v>0</v>
      </c>
      <c r="J741" s="126"/>
      <c r="K741" s="125"/>
      <c r="L741" s="185"/>
      <c r="M741" s="107"/>
      <c r="N741" s="412" t="s">
        <v>1655</v>
      </c>
      <c r="O741" s="412">
        <v>89.0</v>
      </c>
      <c r="P741" s="412">
        <v>5.5</v>
      </c>
      <c r="Q741" s="21" t="s">
        <v>1231</v>
      </c>
    </row>
    <row r="742">
      <c r="A742" s="107" t="s">
        <v>577</v>
      </c>
      <c r="B742" s="415" t="str">
        <f>HYPERLINK("http://codeforces.com/contest/371/problem/B","CF371-D2-B")</f>
        <v>CF371-D2-B</v>
      </c>
      <c r="C742" s="185"/>
      <c r="D742" s="185"/>
      <c r="E742" s="185"/>
      <c r="F742" s="185"/>
      <c r="G742" s="185"/>
      <c r="H742" s="186"/>
      <c r="I742" s="81">
        <f t="shared" si="1"/>
        <v>0</v>
      </c>
      <c r="J742" s="126"/>
      <c r="K742" s="125"/>
      <c r="L742" s="185"/>
      <c r="M742" s="418" t="str">
        <f>HYPERLINK("https://www.youtube.com/watch?v=s9jsw8Uj4uI&amp;feature=youtu.be","Video Solution - Eng Abanob Ashraf")</f>
        <v>Video Solution - Eng Abanob Ashraf</v>
      </c>
      <c r="N742" s="412" t="s">
        <v>1656</v>
      </c>
      <c r="O742" s="412">
        <v>94.0</v>
      </c>
      <c r="P742" s="287">
        <v>2.5</v>
      </c>
    </row>
    <row r="743">
      <c r="A743" s="107" t="s">
        <v>975</v>
      </c>
      <c r="B743" s="415" t="str">
        <f>HYPERLINK("https://uva.onlinejudge.org/index.php?option=com_onlinejudge&amp;Itemid=8&amp;page=show_problem&amp;problem=89","UVA 153")</f>
        <v>UVA 153</v>
      </c>
      <c r="C743" s="185"/>
      <c r="D743" s="185"/>
      <c r="E743" s="185"/>
      <c r="F743" s="185"/>
      <c r="G743" s="185"/>
      <c r="H743" s="186"/>
      <c r="I743" s="81">
        <f t="shared" si="1"/>
        <v>0</v>
      </c>
      <c r="J743" s="126"/>
      <c r="K743" s="125"/>
      <c r="L743" s="185"/>
      <c r="M743" s="321" t="str">
        <f>HYPERLINK("https://github.com/ahmedcpbl/CompetitiveProgramming/blob/master/UVA/153.cpp","Sol")</f>
        <v>Sol</v>
      </c>
      <c r="N743" s="412" t="s">
        <v>1657</v>
      </c>
      <c r="O743" s="412">
        <v>94.0</v>
      </c>
      <c r="P743" s="412">
        <v>4.5</v>
      </c>
      <c r="Q743" s="21" t="s">
        <v>1237</v>
      </c>
    </row>
    <row r="744">
      <c r="A744" s="107" t="s">
        <v>652</v>
      </c>
      <c r="B744" s="415" t="str">
        <f>HYPERLINK("https://uva.onlinejudge.org/index.php?option=com_onlinejudge&amp;Itemid=8&amp;page=show_problem&amp;problem=524","UVA 583")</f>
        <v>UVA 583</v>
      </c>
      <c r="C744" s="185"/>
      <c r="D744" s="185"/>
      <c r="E744" s="185"/>
      <c r="F744" s="185"/>
      <c r="G744" s="185"/>
      <c r="H744" s="186"/>
      <c r="I744" s="81">
        <f t="shared" si="1"/>
        <v>0</v>
      </c>
      <c r="J744" s="86"/>
      <c r="K744" s="80"/>
      <c r="L744" s="185"/>
      <c r="M744" s="428"/>
      <c r="N744" s="412" t="s">
        <v>1658</v>
      </c>
      <c r="O744" s="412">
        <v>95.0</v>
      </c>
      <c r="P744" s="412">
        <v>2.0</v>
      </c>
    </row>
    <row r="745">
      <c r="A745" s="107" t="s">
        <v>449</v>
      </c>
      <c r="B745" s="415" t="str">
        <f>HYPERLINK("http://codeforces.com/contest/236/problem/B","CF236-D2-B")</f>
        <v>CF236-D2-B</v>
      </c>
      <c r="C745" s="185"/>
      <c r="D745" s="185"/>
      <c r="E745" s="185"/>
      <c r="F745" s="185"/>
      <c r="G745" s="185"/>
      <c r="H745" s="186"/>
      <c r="I745" s="81">
        <f t="shared" si="1"/>
        <v>0</v>
      </c>
      <c r="J745" s="86"/>
      <c r="K745" s="80"/>
      <c r="L745" s="185"/>
      <c r="M745" s="418" t="str">
        <f>HYPERLINK("https://www.youtube.com/watch?v=Tv2JpMqQWYg","Video Solution - Eng Yahia Ashraf")</f>
        <v>Video Solution - Eng Yahia Ashraf</v>
      </c>
      <c r="N745" s="412" t="s">
        <v>1658</v>
      </c>
      <c r="O745" s="412">
        <v>95.0</v>
      </c>
      <c r="P745" s="412">
        <v>3.0</v>
      </c>
    </row>
    <row r="746">
      <c r="A746" s="107" t="s">
        <v>653</v>
      </c>
      <c r="B746" s="415" t="str">
        <f>HYPERLINK("https://uva.onlinejudge.org/index.php?option=com_onlinejudge&amp;Itemid=8&amp;page=show_problem&amp;problem=1431","UVA 10490")</f>
        <v>UVA 10490</v>
      </c>
      <c r="C746" s="185"/>
      <c r="D746" s="185"/>
      <c r="E746" s="185"/>
      <c r="F746" s="185"/>
      <c r="G746" s="185"/>
      <c r="H746" s="186"/>
      <c r="I746" s="81">
        <f t="shared" si="1"/>
        <v>0</v>
      </c>
      <c r="J746" s="86"/>
      <c r="K746" s="80"/>
      <c r="L746" s="185"/>
      <c r="M746" s="417" t="str">
        <f>HYPERLINK("https://github.com/MohamedNabil97/CompetitiveProgramming/blob/master/UVA/10490.cpp","Sol to read")</f>
        <v>Sol to read</v>
      </c>
      <c r="N746" s="412" t="s">
        <v>1658</v>
      </c>
      <c r="O746" s="412">
        <v>95.0</v>
      </c>
      <c r="P746" s="412">
        <v>3.0</v>
      </c>
    </row>
    <row r="747">
      <c r="A747" s="107" t="s">
        <v>655</v>
      </c>
      <c r="B747" s="415" t="str">
        <f>HYPERLINK("https://uva.onlinejudge.org/index.php?option=com_onlinejudge&amp;Itemid=8&amp;page=show_problem&amp;problem=457","UVA 516")</f>
        <v>UVA 516</v>
      </c>
      <c r="C747" s="185"/>
      <c r="D747" s="185"/>
      <c r="E747" s="185"/>
      <c r="F747" s="185"/>
      <c r="G747" s="185"/>
      <c r="H747" s="186"/>
      <c r="I747" s="81">
        <f t="shared" si="1"/>
        <v>0</v>
      </c>
      <c r="J747" s="86"/>
      <c r="K747" s="80"/>
      <c r="L747" s="185"/>
      <c r="M747" s="428"/>
      <c r="N747" s="412" t="s">
        <v>1658</v>
      </c>
      <c r="O747" s="412">
        <v>95.0</v>
      </c>
      <c r="P747" s="412">
        <v>3.0</v>
      </c>
    </row>
    <row r="748">
      <c r="A748" s="107" t="s">
        <v>654</v>
      </c>
      <c r="B748" s="415" t="str">
        <f>HYPERLINK("https://uva.onlinejudge.org/index.php?option=onlinejudge&amp;page=show_problem&amp;problem=1563","UVA 10622")</f>
        <v>UVA 10622</v>
      </c>
      <c r="C748" s="185"/>
      <c r="D748" s="185"/>
      <c r="E748" s="185"/>
      <c r="F748" s="185"/>
      <c r="G748" s="185"/>
      <c r="H748" s="186"/>
      <c r="I748" s="81">
        <f t="shared" si="1"/>
        <v>0</v>
      </c>
      <c r="J748" s="86"/>
      <c r="K748" s="80"/>
      <c r="L748" s="185"/>
      <c r="M748" s="195" t="str">
        <f>HYPERLINK("https://www.youtube.com/watch?v=sRZgiQc5x7U","Video Solution - Eng Moaz Rashad")</f>
        <v>Video Solution - Eng Moaz Rashad</v>
      </c>
      <c r="N748" s="412" t="s">
        <v>1658</v>
      </c>
      <c r="O748" s="412">
        <v>95.0</v>
      </c>
      <c r="P748" s="412">
        <v>4.0</v>
      </c>
      <c r="Q748" s="21" t="s">
        <v>1231</v>
      </c>
    </row>
    <row r="749">
      <c r="A749" s="107" t="s">
        <v>670</v>
      </c>
      <c r="B749" s="415" t="str">
        <f>HYPERLINK("https://uva.onlinejudge.org/index.php?option=onlinejudge&amp;Itemid=8&amp;page=show_problem&amp;problem=1080","UVA 10139")</f>
        <v>UVA 10139</v>
      </c>
      <c r="C749" s="185"/>
      <c r="D749" s="185"/>
      <c r="E749" s="185"/>
      <c r="F749" s="185"/>
      <c r="G749" s="185"/>
      <c r="H749" s="186"/>
      <c r="I749" s="81">
        <f t="shared" si="1"/>
        <v>0</v>
      </c>
      <c r="J749" s="86"/>
      <c r="K749" s="80"/>
      <c r="L749" s="185"/>
      <c r="M749" s="417" t="str">
        <f>HYPERLINK("https://github.com/MohamedNabil97/CompetitiveProgramming/blob/master/UVA/10139.cpp","Sol to read")</f>
        <v>Sol to read</v>
      </c>
      <c r="N749" s="412" t="s">
        <v>1659</v>
      </c>
      <c r="O749" s="412">
        <v>95.0</v>
      </c>
      <c r="P749" s="412">
        <v>4.0</v>
      </c>
    </row>
    <row r="750">
      <c r="A750" s="107"/>
      <c r="B750" s="415" t="str">
        <f>HYPERLINK("http://codeforces.com/contest/1047/problem/C","CF1047-D2-C")</f>
        <v>CF1047-D2-C</v>
      </c>
      <c r="C750" s="185"/>
      <c r="D750" s="185"/>
      <c r="E750" s="185"/>
      <c r="F750" s="185"/>
      <c r="G750" s="185"/>
      <c r="H750" s="186"/>
      <c r="I750" s="81">
        <f t="shared" si="1"/>
        <v>0</v>
      </c>
      <c r="J750" s="86"/>
      <c r="K750" s="80"/>
      <c r="L750" s="120"/>
      <c r="M750" s="433"/>
      <c r="N750" s="412" t="s">
        <v>1658</v>
      </c>
      <c r="O750" s="412">
        <v>95.0</v>
      </c>
      <c r="P750" s="412">
        <v>4.5</v>
      </c>
      <c r="Q750" s="21" t="s">
        <v>1237</v>
      </c>
    </row>
    <row r="751">
      <c r="A751" s="107" t="s">
        <v>1122</v>
      </c>
      <c r="B751" s="415" t="str">
        <f>HYPERLINK("https://uva.onlinejudge.org/index.php?option=onlinejudge&amp;page=show_problem&amp;problem=488","UVA 547")</f>
        <v>UVA 547</v>
      </c>
      <c r="C751" s="185"/>
      <c r="D751" s="185"/>
      <c r="E751" s="185"/>
      <c r="F751" s="185"/>
      <c r="G751" s="185"/>
      <c r="H751" s="186"/>
      <c r="I751" s="81">
        <f t="shared" si="1"/>
        <v>0</v>
      </c>
      <c r="J751" s="86"/>
      <c r="K751" s="80"/>
      <c r="L751" s="434"/>
      <c r="M751" s="435"/>
      <c r="N751" s="412" t="s">
        <v>1660</v>
      </c>
      <c r="O751" s="412">
        <v>95.0</v>
      </c>
      <c r="P751" s="412">
        <v>4.5</v>
      </c>
    </row>
    <row r="752">
      <c r="A752" s="107"/>
      <c r="B752" s="107" t="s">
        <v>990</v>
      </c>
      <c r="C752" s="185"/>
      <c r="D752" s="185"/>
      <c r="E752" s="185"/>
      <c r="F752" s="185"/>
      <c r="G752" s="185"/>
      <c r="H752" s="186"/>
      <c r="I752" s="81">
        <f t="shared" si="1"/>
        <v>0</v>
      </c>
      <c r="J752" s="126"/>
      <c r="K752" s="125"/>
      <c r="L752" s="185"/>
      <c r="M752" s="428"/>
      <c r="N752" s="412" t="s">
        <v>1661</v>
      </c>
      <c r="O752" s="412">
        <v>95.0</v>
      </c>
      <c r="P752" s="412">
        <v>5.0</v>
      </c>
    </row>
    <row r="753">
      <c r="A753" s="107" t="s">
        <v>1146</v>
      </c>
      <c r="B753" s="415" t="str">
        <f>HYPERLINK("https://uva.onlinejudge.org/index.php?option=onlinejudge&amp;page=show_problem&amp;problem=2322","UVA 11347")</f>
        <v>UVA 11347</v>
      </c>
      <c r="C753" s="185"/>
      <c r="D753" s="185"/>
      <c r="E753" s="185"/>
      <c r="F753" s="185"/>
      <c r="G753" s="185"/>
      <c r="H753" s="186"/>
      <c r="I753" s="81">
        <f t="shared" si="1"/>
        <v>0</v>
      </c>
      <c r="J753" s="86"/>
      <c r="K753" s="80"/>
      <c r="L753" s="434"/>
      <c r="M753" s="435"/>
      <c r="N753" s="412" t="s">
        <v>1662</v>
      </c>
      <c r="O753" s="412">
        <v>95.0</v>
      </c>
      <c r="P753" s="412">
        <v>5.0</v>
      </c>
    </row>
    <row r="754">
      <c r="A754" s="107"/>
      <c r="B754" s="415" t="str">
        <f>HYPERLINK("http://codeforces.com/problemset/problem/1033/D", "CF1033-D12-D")</f>
        <v>CF1033-D12-D</v>
      </c>
      <c r="C754" s="185"/>
      <c r="D754" s="185"/>
      <c r="E754" s="185"/>
      <c r="F754" s="185"/>
      <c r="G754" s="185"/>
      <c r="H754" s="186"/>
      <c r="I754" s="81">
        <f t="shared" si="1"/>
        <v>0</v>
      </c>
      <c r="J754" s="126"/>
      <c r="K754" s="125"/>
      <c r="L754" s="185"/>
      <c r="M754" s="430"/>
      <c r="N754" s="412" t="s">
        <v>1658</v>
      </c>
      <c r="O754" s="412">
        <v>95.0</v>
      </c>
      <c r="P754" s="412">
        <v>5.5</v>
      </c>
      <c r="Q754" s="21" t="s">
        <v>1237</v>
      </c>
    </row>
    <row r="755">
      <c r="A755" s="107" t="s">
        <v>1218</v>
      </c>
      <c r="B755" s="415" t="str">
        <f>HYPERLINK("http://codeforces.com/contest/688/problem/D","CF688-D2-D")</f>
        <v>CF688-D2-D</v>
      </c>
      <c r="C755" s="185"/>
      <c r="D755" s="185"/>
      <c r="E755" s="185"/>
      <c r="F755" s="185"/>
      <c r="G755" s="185"/>
      <c r="H755" s="186"/>
      <c r="I755" s="81">
        <f t="shared" si="1"/>
        <v>0</v>
      </c>
      <c r="J755" s="126"/>
      <c r="K755" s="125"/>
      <c r="L755" s="185"/>
      <c r="M755" s="430"/>
      <c r="N755" s="412" t="s">
        <v>1663</v>
      </c>
      <c r="O755" s="412">
        <v>95.0</v>
      </c>
      <c r="P755" s="412">
        <v>6.0</v>
      </c>
      <c r="Q755" s="21" t="s">
        <v>1262</v>
      </c>
    </row>
    <row r="756">
      <c r="A756" s="107" t="s">
        <v>1150</v>
      </c>
      <c r="B756" s="415" t="str">
        <f>HYPERLINK("http://www.spoj.com/problems/PROOT/","SPOJ PROOT")</f>
        <v>SPOJ PROOT</v>
      </c>
      <c r="C756" s="185"/>
      <c r="D756" s="185"/>
      <c r="E756" s="185"/>
      <c r="F756" s="185"/>
      <c r="G756" s="185"/>
      <c r="H756" s="186"/>
      <c r="I756" s="81">
        <f t="shared" si="1"/>
        <v>0</v>
      </c>
      <c r="J756" s="86"/>
      <c r="K756" s="80"/>
      <c r="L756" s="434"/>
      <c r="M756" s="321" t="str">
        <f>HYPERLINK("http://zobayer.blogspot.com/2010/02/primitive-root.html","Sol")</f>
        <v>Sol</v>
      </c>
      <c r="N756" s="412" t="s">
        <v>1664</v>
      </c>
      <c r="O756" s="412">
        <v>95.0</v>
      </c>
      <c r="P756" s="412">
        <v>6.25</v>
      </c>
      <c r="Q756" s="21" t="s">
        <v>1262</v>
      </c>
    </row>
    <row r="757">
      <c r="A757" s="107"/>
      <c r="B757" s="107" t="s">
        <v>883</v>
      </c>
      <c r="C757" s="185"/>
      <c r="D757" s="185"/>
      <c r="E757" s="185"/>
      <c r="F757" s="185"/>
      <c r="G757" s="185"/>
      <c r="H757" s="186"/>
      <c r="I757" s="81">
        <f t="shared" si="1"/>
        <v>0</v>
      </c>
      <c r="J757" s="86"/>
      <c r="K757" s="80"/>
      <c r="L757" s="185"/>
      <c r="M757" s="432" t="str">
        <f>HYPERLINK("https://pastebin.com/WHzEMUew","Sol")</f>
        <v>Sol</v>
      </c>
      <c r="N757" s="412" t="s">
        <v>1665</v>
      </c>
      <c r="O757" s="412">
        <v>98.0</v>
      </c>
      <c r="P757" s="412">
        <v>5.0</v>
      </c>
      <c r="Q757" s="21" t="s">
        <v>1235</v>
      </c>
    </row>
    <row r="758">
      <c r="A758" s="107" t="s">
        <v>401</v>
      </c>
      <c r="B758" s="415" t="str">
        <f>HYPERLINK("https://uva.onlinejudge.org/index.php?option=onlinejudge&amp;page=show_problem&amp;problem=305","UVA 369")</f>
        <v>UVA 369</v>
      </c>
      <c r="C758" s="185"/>
      <c r="D758" s="185"/>
      <c r="E758" s="185"/>
      <c r="F758" s="185"/>
      <c r="G758" s="185"/>
      <c r="H758" s="186"/>
      <c r="I758" s="81">
        <f t="shared" si="1"/>
        <v>0</v>
      </c>
      <c r="J758" s="86"/>
      <c r="K758" s="80"/>
      <c r="L758" s="185"/>
      <c r="M758" s="257"/>
      <c r="N758" s="412" t="s">
        <v>1666</v>
      </c>
      <c r="O758" s="412">
        <v>99.0</v>
      </c>
      <c r="P758" s="412">
        <v>2.0</v>
      </c>
    </row>
    <row r="759">
      <c r="A759" s="107" t="s">
        <v>402</v>
      </c>
      <c r="B759" s="415" t="str">
        <f>HYPERLINK("https://uva.onlinejudge.org/index.php?option=onlinejudge&amp;page=show_problem&amp;problem=353","UVA 412")</f>
        <v>UVA 412</v>
      </c>
      <c r="C759" s="185"/>
      <c r="D759" s="185"/>
      <c r="E759" s="185"/>
      <c r="F759" s="185"/>
      <c r="G759" s="185"/>
      <c r="H759" s="186"/>
      <c r="I759" s="81">
        <f t="shared" si="1"/>
        <v>0</v>
      </c>
      <c r="J759" s="86"/>
      <c r="K759" s="80"/>
      <c r="L759" s="185"/>
      <c r="M759" s="195" t="str">
        <f>HYPERLINK("https://www.youtube.com/watch?v=NmumgTB7B9c&amp;feature=youtu.be","Video Solution - Eng Mohamed Adel")</f>
        <v>Video Solution - Eng Mohamed Adel</v>
      </c>
      <c r="N759" s="412" t="s">
        <v>1667</v>
      </c>
      <c r="O759" s="412">
        <v>99.0</v>
      </c>
      <c r="P759" s="412">
        <v>3.0</v>
      </c>
    </row>
    <row r="760">
      <c r="A760" s="107" t="s">
        <v>590</v>
      </c>
      <c r="B760" s="415" t="str">
        <f>HYPERLINK("http://codeforces.com/contest/88/problem/C","CF88-D2-C")</f>
        <v>CF88-D2-C</v>
      </c>
      <c r="C760" s="185"/>
      <c r="D760" s="185"/>
      <c r="E760" s="185"/>
      <c r="F760" s="185"/>
      <c r="G760" s="185"/>
      <c r="H760" s="186"/>
      <c r="I760" s="81">
        <f t="shared" si="1"/>
        <v>0</v>
      </c>
      <c r="J760" s="126"/>
      <c r="K760" s="125"/>
      <c r="L760" s="185"/>
      <c r="M760" s="424" t="str">
        <f>HYPERLINK("https://www.youtube.com/watch?v=YiM38hyILmc","Video Solution - Solver to be (Java)")</f>
        <v>Video Solution - Solver to be (Java)</v>
      </c>
      <c r="N760" s="412" t="s">
        <v>1668</v>
      </c>
      <c r="O760" s="412">
        <v>99.0</v>
      </c>
      <c r="P760" s="412">
        <v>4.0</v>
      </c>
    </row>
    <row r="761">
      <c r="A761" s="107" t="s">
        <v>583</v>
      </c>
      <c r="B761" s="415" t="str">
        <f>HYPERLINK("https://uva.onlinejudge.org/index.php?option=onlinejudge&amp;page=show_problem&amp;problem=1658","UVA 10717")</f>
        <v>UVA 10717</v>
      </c>
      <c r="C761" s="185"/>
      <c r="D761" s="185"/>
      <c r="E761" s="185"/>
      <c r="F761" s="185"/>
      <c r="G761" s="185"/>
      <c r="H761" s="186"/>
      <c r="I761" s="81">
        <f t="shared" si="1"/>
        <v>0</v>
      </c>
      <c r="J761" s="86"/>
      <c r="K761" s="80"/>
      <c r="L761" s="185"/>
      <c r="M761" s="432" t="str">
        <f>HYPERLINK("https://github.com/magdy-hasan/competitive-programming/blob/master/uva-/uva%2010717%20-%20Mint.cpp","Sol")</f>
        <v>Sol</v>
      </c>
      <c r="N761" s="412" t="s">
        <v>1669</v>
      </c>
      <c r="O761" s="412">
        <v>99.0</v>
      </c>
      <c r="P761" s="412">
        <v>4.0</v>
      </c>
    </row>
    <row r="762">
      <c r="A762" s="107" t="s">
        <v>822</v>
      </c>
      <c r="B762" s="415" t="str">
        <f>HYPERLINK("http://codeforces.com/contest/592/problem/C","CF592-D2-C")</f>
        <v>CF592-D2-C</v>
      </c>
      <c r="C762" s="185"/>
      <c r="D762" s="185"/>
      <c r="E762" s="185"/>
      <c r="F762" s="185"/>
      <c r="G762" s="185"/>
      <c r="H762" s="186"/>
      <c r="I762" s="81">
        <f t="shared" si="1"/>
        <v>0</v>
      </c>
      <c r="J762" s="126"/>
      <c r="K762" s="125"/>
      <c r="L762" s="185"/>
      <c r="M762" s="430"/>
      <c r="N762" s="412" t="s">
        <v>1670</v>
      </c>
      <c r="O762" s="412">
        <v>99.0</v>
      </c>
      <c r="P762" s="412">
        <v>4.5</v>
      </c>
      <c r="Q762" s="21" t="s">
        <v>1237</v>
      </c>
    </row>
    <row r="763">
      <c r="A763" s="107" t="s">
        <v>954</v>
      </c>
      <c r="B763" s="415" t="str">
        <f>HYPERLINK("https://uva.onlinejudge.org/index.php?option=onlinejudge&amp;page=show_problem&amp;problem=1833","UVA 10892")</f>
        <v>UVA 10892</v>
      </c>
      <c r="C763" s="185"/>
      <c r="D763" s="185"/>
      <c r="E763" s="185"/>
      <c r="F763" s="185"/>
      <c r="G763" s="185"/>
      <c r="H763" s="186"/>
      <c r="I763" s="81">
        <f t="shared" si="1"/>
        <v>0</v>
      </c>
      <c r="J763" s="120"/>
      <c r="K763" s="185"/>
      <c r="L763" s="185"/>
      <c r="M763" s="430"/>
      <c r="N763" s="412" t="s">
        <v>1669</v>
      </c>
      <c r="O763" s="412">
        <v>99.0</v>
      </c>
      <c r="P763" s="412">
        <v>4.5</v>
      </c>
    </row>
    <row r="764">
      <c r="A764" s="107" t="s">
        <v>628</v>
      </c>
      <c r="B764" s="415" t="str">
        <f>HYPERLINK("http://codeforces.com/contest/344/problem/C","CF344-D2-C")</f>
        <v>CF344-D2-C</v>
      </c>
      <c r="C764" s="185"/>
      <c r="D764" s="185"/>
      <c r="E764" s="185"/>
      <c r="F764" s="185"/>
      <c r="G764" s="185"/>
      <c r="H764" s="186"/>
      <c r="I764" s="81">
        <f t="shared" si="1"/>
        <v>0</v>
      </c>
      <c r="J764" s="126"/>
      <c r="K764" s="125"/>
      <c r="L764" s="185"/>
      <c r="M764" s="428"/>
      <c r="N764" s="412" t="s">
        <v>1667</v>
      </c>
      <c r="O764" s="412">
        <v>99.0</v>
      </c>
      <c r="P764" s="412">
        <v>5.0</v>
      </c>
      <c r="Q764" s="21" t="s">
        <v>1237</v>
      </c>
    </row>
    <row r="765">
      <c r="A765" s="107" t="s">
        <v>965</v>
      </c>
      <c r="B765" s="415" t="str">
        <f>HYPERLINK("http://codeforces.com/contest/236/problem/C","CF236-D2-C")</f>
        <v>CF236-D2-C</v>
      </c>
      <c r="C765" s="185"/>
      <c r="D765" s="185"/>
      <c r="E765" s="185"/>
      <c r="F765" s="185"/>
      <c r="G765" s="185"/>
      <c r="H765" s="186"/>
      <c r="I765" s="81">
        <f t="shared" si="1"/>
        <v>0</v>
      </c>
      <c r="J765" s="126"/>
      <c r="K765" s="125"/>
      <c r="L765" s="185"/>
      <c r="M765" s="430"/>
      <c r="N765" s="412" t="s">
        <v>1669</v>
      </c>
      <c r="O765" s="412">
        <v>99.0</v>
      </c>
      <c r="P765" s="412">
        <v>5.0</v>
      </c>
    </row>
    <row r="766">
      <c r="A766" s="107"/>
      <c r="B766" s="415" t="str">
        <f>HYPERLINK("http://codeforces.com/contest/1010/problem/C","CF1010-D1-C")</f>
        <v>CF1010-D1-C</v>
      </c>
      <c r="C766" s="185"/>
      <c r="D766" s="185"/>
      <c r="E766" s="185"/>
      <c r="F766" s="185"/>
      <c r="G766" s="185"/>
      <c r="H766" s="186"/>
      <c r="I766" s="81">
        <f t="shared" si="1"/>
        <v>0</v>
      </c>
      <c r="J766" s="126"/>
      <c r="K766" s="125"/>
      <c r="L766" s="185"/>
      <c r="M766" s="435"/>
      <c r="N766" s="412" t="s">
        <v>1671</v>
      </c>
      <c r="O766" s="412">
        <v>99.0</v>
      </c>
      <c r="P766" s="412">
        <v>5.5</v>
      </c>
      <c r="Q766" s="21" t="s">
        <v>1231</v>
      </c>
    </row>
    <row r="767">
      <c r="A767" s="107"/>
      <c r="B767" s="415" t="str">
        <f>HYPERLINK("https://beta.atcoder.jp/contests/agc026/tasks/agc026_b","AtCoder026-AGC-B")</f>
        <v>AtCoder026-AGC-B</v>
      </c>
      <c r="C767" s="185"/>
      <c r="D767" s="185"/>
      <c r="E767" s="185"/>
      <c r="F767" s="185"/>
      <c r="G767" s="185"/>
      <c r="H767" s="186"/>
      <c r="I767" s="81">
        <f t="shared" si="1"/>
        <v>0</v>
      </c>
      <c r="J767" s="120"/>
      <c r="K767" s="185"/>
      <c r="L767" s="434"/>
      <c r="M767" s="321" t="str">
        <f>HYPERLINK("https://github.com/dasannagariraja/CompetitiveProgramming/blob/master/AtCoder/AtCoder026-AGC-B.cpp","Sol")</f>
        <v>Sol</v>
      </c>
      <c r="N767" s="412" t="s">
        <v>1672</v>
      </c>
      <c r="O767" s="412">
        <v>99.0</v>
      </c>
      <c r="P767" s="412">
        <v>6.0</v>
      </c>
      <c r="Q767" s="21" t="s">
        <v>1237</v>
      </c>
    </row>
    <row r="768">
      <c r="A768" s="107"/>
      <c r="B768" s="415" t="str">
        <f>HYPERLINK("https://www.spoj.com/problems/EASYMATH/","SPOJ EASYMATH")</f>
        <v>SPOJ EASYMATH</v>
      </c>
      <c r="C768" s="185"/>
      <c r="D768" s="185"/>
      <c r="E768" s="185"/>
      <c r="F768" s="185"/>
      <c r="G768" s="185"/>
      <c r="H768" s="186"/>
      <c r="I768" s="81">
        <f t="shared" si="1"/>
        <v>0</v>
      </c>
      <c r="J768" s="126"/>
      <c r="K768" s="80"/>
      <c r="L768" s="126"/>
      <c r="M768" s="426" t="str">
        <f>HYPERLINK("https://github.com/Emsawy/CompetitiveProgramming/blob/master/SPOJ/EASYMATH.cpp","Sol")</f>
        <v>Sol</v>
      </c>
      <c r="N768" s="412" t="s">
        <v>1673</v>
      </c>
      <c r="O768" s="412">
        <v>101.0</v>
      </c>
      <c r="P768" s="412">
        <v>3.0</v>
      </c>
      <c r="Q768" s="21"/>
    </row>
    <row r="769">
      <c r="A769" s="107" t="s">
        <v>582</v>
      </c>
      <c r="B769" s="415" t="str">
        <f>HYPERLINK("http://codeforces.com/contest/371/problem/C","CF371-D2-C")</f>
        <v>CF371-D2-C</v>
      </c>
      <c r="C769" s="185"/>
      <c r="D769" s="185"/>
      <c r="E769" s="185"/>
      <c r="F769" s="185"/>
      <c r="G769" s="185"/>
      <c r="H769" s="186"/>
      <c r="I769" s="81">
        <f t="shared" si="1"/>
        <v>0</v>
      </c>
      <c r="J769" s="86"/>
      <c r="K769" s="80"/>
      <c r="L769" s="185"/>
      <c r="M769" s="257"/>
      <c r="N769" s="412" t="s">
        <v>1674</v>
      </c>
      <c r="O769" s="412">
        <v>101.0</v>
      </c>
      <c r="P769" s="412">
        <v>3.0</v>
      </c>
    </row>
    <row r="770">
      <c r="A770" s="107" t="s">
        <v>581</v>
      </c>
      <c r="B770" s="415" t="str">
        <f>HYPERLINK("https://uva.onlinejudge.org/index.php?option=onlinejudge&amp;page=show_problem&amp;problem=1266","UVA 10325")</f>
        <v>UVA 10325</v>
      </c>
      <c r="C770" s="185"/>
      <c r="D770" s="185"/>
      <c r="E770" s="185"/>
      <c r="F770" s="185"/>
      <c r="G770" s="185"/>
      <c r="H770" s="186"/>
      <c r="I770" s="81">
        <f t="shared" si="1"/>
        <v>0</v>
      </c>
      <c r="J770" s="86"/>
      <c r="K770" s="80"/>
      <c r="L770" s="185"/>
      <c r="M770" s="195" t="str">
        <f>HYPERLINK("https://www.youtube.com/watch?v=OA_J9bFxJpU","Video Solution - Eng Amr Bahaa")</f>
        <v>Video Solution - Eng Amr Bahaa</v>
      </c>
      <c r="N770" s="412" t="s">
        <v>1675</v>
      </c>
      <c r="O770" s="412">
        <v>101.0</v>
      </c>
      <c r="P770" s="412">
        <v>4.0</v>
      </c>
    </row>
    <row r="771">
      <c r="A771" s="107"/>
      <c r="B771" s="415" t="str">
        <f>HYPERLINK("https://codeforces.com/gym/101933/problem/K","CF101933-GYM-K")</f>
        <v>CF101933-GYM-K</v>
      </c>
      <c r="C771" s="185"/>
      <c r="D771" s="185"/>
      <c r="E771" s="185"/>
      <c r="F771" s="185"/>
      <c r="G771" s="185"/>
      <c r="H771" s="186"/>
      <c r="I771" s="81">
        <f t="shared" si="1"/>
        <v>0</v>
      </c>
      <c r="J771" s="86"/>
      <c r="K771" s="80"/>
      <c r="L771" s="185"/>
      <c r="M771" s="272" t="str">
        <f>HYPERLINK("https://github.com/pranavjangir/CompetitiveProgramming/blob/master/CodeForces/CF101933-GYM-K.cpp","Sol")</f>
        <v>Sol</v>
      </c>
      <c r="N771" s="412" t="s">
        <v>1676</v>
      </c>
      <c r="O771" s="412">
        <v>101.0</v>
      </c>
      <c r="P771" s="412">
        <v>4.0</v>
      </c>
    </row>
    <row r="772">
      <c r="A772" s="107"/>
      <c r="B772" s="415" t="str">
        <f>HYPERLINK("http://codeforces.com/contest/372/problem/B","CF372-D1-B")</f>
        <v>CF372-D1-B</v>
      </c>
      <c r="C772" s="185"/>
      <c r="D772" s="185"/>
      <c r="E772" s="185"/>
      <c r="F772" s="185"/>
      <c r="G772" s="185"/>
      <c r="H772" s="186"/>
      <c r="I772" s="81">
        <f t="shared" si="1"/>
        <v>0</v>
      </c>
      <c r="J772" s="86"/>
      <c r="K772" s="80"/>
      <c r="L772" s="185"/>
      <c r="M772" s="431"/>
      <c r="N772" s="412" t="s">
        <v>1676</v>
      </c>
      <c r="O772" s="412">
        <v>101.0</v>
      </c>
      <c r="P772" s="412">
        <v>5.75</v>
      </c>
      <c r="Q772" t="s">
        <v>1235</v>
      </c>
    </row>
    <row r="773">
      <c r="A773" s="107"/>
      <c r="B773" s="107" t="s">
        <v>992</v>
      </c>
      <c r="C773" s="185"/>
      <c r="D773" s="185"/>
      <c r="E773" s="185"/>
      <c r="F773" s="185"/>
      <c r="G773" s="185"/>
      <c r="H773" s="186"/>
      <c r="I773" s="81">
        <f t="shared" si="1"/>
        <v>0</v>
      </c>
      <c r="J773" s="86"/>
      <c r="K773" s="80"/>
      <c r="L773" s="185"/>
      <c r="M773" s="449" t="str">
        <f>HYPERLINK("https://github.com/mostafa-saad/MyCompetitiveProgramming/blob/master/SPOJ/SPOJ_MSKYCODE.txt","Sol")</f>
        <v>Sol</v>
      </c>
      <c r="N773" s="412" t="s">
        <v>1676</v>
      </c>
      <c r="O773" s="412">
        <v>101.0</v>
      </c>
      <c r="P773" s="412">
        <v>6.0</v>
      </c>
      <c r="Q773" t="s">
        <v>1237</v>
      </c>
    </row>
    <row r="774">
      <c r="A774" s="107"/>
      <c r="B774" s="415" t="str">
        <f>HYPERLINK("https://codeforces.com/gym/101992/problem/D","CF101992-GYM-D")</f>
        <v>CF101992-GYM-D</v>
      </c>
      <c r="C774" s="185"/>
      <c r="D774" s="185"/>
      <c r="E774" s="185"/>
      <c r="F774" s="185"/>
      <c r="G774" s="185"/>
      <c r="H774" s="186"/>
      <c r="I774" s="81">
        <f t="shared" si="1"/>
        <v>0</v>
      </c>
      <c r="J774" s="86"/>
      <c r="K774" s="80"/>
      <c r="L774" s="185"/>
      <c r="M774" s="449" t="str">
        <f>HYPERLINK("https://ideone.com/bDMQGD","Sol")</f>
        <v>Sol</v>
      </c>
      <c r="N774" s="412" t="s">
        <v>1676</v>
      </c>
      <c r="O774" s="412">
        <v>101.0</v>
      </c>
      <c r="P774" s="412">
        <v>6.0</v>
      </c>
      <c r="Q774" t="s">
        <v>1237</v>
      </c>
    </row>
    <row r="775">
      <c r="A775" s="107" t="s">
        <v>972</v>
      </c>
      <c r="B775" s="415" t="str">
        <f>HYPERLINK("https://uva.onlinejudge.org/index.php?option=com_onlinejudge&amp;Itemid=8&amp;page=show_problem&amp;problem=668","UVA 727")</f>
        <v>UVA 727</v>
      </c>
      <c r="C775" s="185"/>
      <c r="D775" s="185"/>
      <c r="E775" s="185"/>
      <c r="F775" s="185"/>
      <c r="G775" s="185"/>
      <c r="H775" s="186"/>
      <c r="I775" s="81">
        <f t="shared" si="1"/>
        <v>0</v>
      </c>
      <c r="J775" s="120"/>
      <c r="K775" s="185"/>
      <c r="L775" s="185"/>
      <c r="M775" s="431"/>
      <c r="N775" s="412" t="s">
        <v>1677</v>
      </c>
      <c r="O775" s="412">
        <v>102.0</v>
      </c>
      <c r="P775" s="412">
        <v>4.0</v>
      </c>
    </row>
    <row r="776">
      <c r="A776" s="107" t="s">
        <v>473</v>
      </c>
      <c r="B776" s="415" t="str">
        <f>HYPERLINK("http://acm.timus.ru/problem.aspx?space=1&amp;num=1349","TIMUS 1349")</f>
        <v>TIMUS 1349</v>
      </c>
      <c r="C776" s="185"/>
      <c r="D776" s="185"/>
      <c r="E776" s="185"/>
      <c r="F776" s="185"/>
      <c r="G776" s="185"/>
      <c r="H776" s="186"/>
      <c r="I776" s="81">
        <f t="shared" si="1"/>
        <v>0</v>
      </c>
      <c r="J776" s="86"/>
      <c r="K776" s="80"/>
      <c r="L776" s="86"/>
      <c r="M776" s="421" t="str">
        <f>HYPERLINK("http://acm.timus.ru/forum/thread.aspx?id=26903&amp;upd=634491955419403750","Know Fermat’s Last Theorem (Ignore proof)")</f>
        <v>Know Fermat’s Last Theorem (Ignore proof)</v>
      </c>
      <c r="N776" s="412" t="s">
        <v>1678</v>
      </c>
      <c r="O776" s="412">
        <v>104.0</v>
      </c>
      <c r="P776" s="412">
        <v>2.0</v>
      </c>
      <c r="Q776" s="21" t="s">
        <v>1235</v>
      </c>
    </row>
    <row r="777">
      <c r="A777" s="107" t="s">
        <v>595</v>
      </c>
      <c r="B777" s="415" t="str">
        <f>HYPERLINK("https://uva.onlinejudge.org/index.php?option=onlinejudge&amp;page=show_problem&amp;problem=1243","UVA 10302")</f>
        <v>UVA 10302</v>
      </c>
      <c r="C777" s="185"/>
      <c r="D777" s="185"/>
      <c r="E777" s="185"/>
      <c r="F777" s="185"/>
      <c r="G777" s="185"/>
      <c r="H777" s="186"/>
      <c r="I777" s="81">
        <f t="shared" si="1"/>
        <v>0</v>
      </c>
      <c r="J777" s="86"/>
      <c r="K777" s="80"/>
      <c r="L777" s="185"/>
      <c r="M777" s="428"/>
      <c r="N777" s="412" t="s">
        <v>1679</v>
      </c>
      <c r="O777" s="412">
        <v>104.0</v>
      </c>
      <c r="P777" s="412">
        <v>2.0</v>
      </c>
    </row>
    <row r="778">
      <c r="A778" s="107"/>
      <c r="B778" s="415" t="str">
        <f>HYPERLINK("https://www.hackerrank.com/contests/infinitum18/challenges/tower-3-coloring","HACKR tower-3-coloring")</f>
        <v>HACKR tower-3-coloring</v>
      </c>
      <c r="C778" s="185"/>
      <c r="D778" s="185"/>
      <c r="E778" s="185"/>
      <c r="F778" s="185"/>
      <c r="G778" s="185"/>
      <c r="H778" s="186"/>
      <c r="I778" s="81">
        <f t="shared" si="1"/>
        <v>0</v>
      </c>
      <c r="J778" s="86"/>
      <c r="K778" s="80"/>
      <c r="L778" s="185"/>
      <c r="M778" s="266" t="s">
        <v>1680</v>
      </c>
      <c r="N778" s="412" t="s">
        <v>1681</v>
      </c>
      <c r="O778" s="412">
        <v>104.0</v>
      </c>
      <c r="P778" s="412">
        <v>3.0</v>
      </c>
      <c r="Q778" s="21" t="s">
        <v>1231</v>
      </c>
    </row>
    <row r="779">
      <c r="A779" s="107" t="s">
        <v>597</v>
      </c>
      <c r="B779" s="415" t="str">
        <f>HYPERLINK("https://uva.onlinejudge.org/index.php?option=onlinejudge&amp;page=show_problem&amp;problem=1450","UVA 10509")</f>
        <v>UVA 10509</v>
      </c>
      <c r="C779" s="185"/>
      <c r="D779" s="185"/>
      <c r="E779" s="185"/>
      <c r="F779" s="185"/>
      <c r="G779" s="185"/>
      <c r="H779" s="186"/>
      <c r="I779" s="81">
        <f t="shared" si="1"/>
        <v>0</v>
      </c>
      <c r="J779" s="86"/>
      <c r="K779" s="80"/>
      <c r="L779" s="185"/>
      <c r="M779" s="246"/>
      <c r="N779" s="412" t="s">
        <v>1682</v>
      </c>
      <c r="O779" s="412">
        <v>104.0</v>
      </c>
      <c r="P779" s="412">
        <v>3.5</v>
      </c>
    </row>
    <row r="780">
      <c r="A780" s="107" t="s">
        <v>596</v>
      </c>
      <c r="B780" s="415" t="str">
        <f>HYPERLINK("https://uva.onlinejudge.org/index.php?option=com_onlinejudge&amp;Itemid=8&amp;page=show_problem&amp;problem=439","UVA 498")</f>
        <v>UVA 498</v>
      </c>
      <c r="C780" s="185"/>
      <c r="D780" s="185"/>
      <c r="E780" s="185"/>
      <c r="F780" s="185"/>
      <c r="G780" s="185"/>
      <c r="H780" s="186"/>
      <c r="I780" s="81">
        <f t="shared" si="1"/>
        <v>0</v>
      </c>
      <c r="J780" s="86"/>
      <c r="K780" s="80"/>
      <c r="L780" s="185"/>
      <c r="M780" s="107"/>
      <c r="N780" s="412" t="s">
        <v>1679</v>
      </c>
      <c r="O780" s="412">
        <v>104.0</v>
      </c>
      <c r="P780" s="412">
        <v>3.5</v>
      </c>
    </row>
    <row r="781">
      <c r="A781" s="107" t="s">
        <v>616</v>
      </c>
      <c r="B781" s="415" t="str">
        <f>HYPERLINK("http://codeforces.com/contest/450/problem/B","CF450-D2-B")</f>
        <v>CF450-D2-B</v>
      </c>
      <c r="C781" s="185"/>
      <c r="D781" s="185"/>
      <c r="E781" s="185"/>
      <c r="F781" s="185"/>
      <c r="G781" s="185"/>
      <c r="H781" s="186"/>
      <c r="I781" s="81">
        <f t="shared" si="1"/>
        <v>0</v>
      </c>
      <c r="J781" s="86"/>
      <c r="K781" s="80"/>
      <c r="L781" s="185"/>
      <c r="M781" s="428"/>
      <c r="N781" s="412" t="s">
        <v>1683</v>
      </c>
      <c r="O781" s="412">
        <v>105.0</v>
      </c>
      <c r="P781" s="287">
        <v>2.5</v>
      </c>
    </row>
    <row r="782">
      <c r="A782" s="107" t="s">
        <v>898</v>
      </c>
      <c r="B782" s="415" t="str">
        <f>HYPERLINK("https://uva.onlinejudge.org/index.php?option=com_onlinejudge&amp;Itemid=8&amp;page=show_problem&amp;problem=407","UVA 466")</f>
        <v>UVA 466</v>
      </c>
      <c r="C782" s="185"/>
      <c r="D782" s="185"/>
      <c r="E782" s="185"/>
      <c r="F782" s="185"/>
      <c r="G782" s="185"/>
      <c r="H782" s="186"/>
      <c r="I782" s="81">
        <f t="shared" si="1"/>
        <v>0</v>
      </c>
      <c r="J782" s="126"/>
      <c r="K782" s="126"/>
      <c r="L782" s="120"/>
      <c r="M782" s="428"/>
      <c r="N782" s="412" t="s">
        <v>1684</v>
      </c>
      <c r="O782" s="412">
        <v>105.0</v>
      </c>
      <c r="P782" s="412">
        <v>3.0</v>
      </c>
      <c r="Q782" s="21" t="s">
        <v>1231</v>
      </c>
    </row>
    <row r="783">
      <c r="A783" s="107" t="s">
        <v>757</v>
      </c>
      <c r="B783" s="415" t="str">
        <f>HYPERLINK("http://codeforces.com/contest/202/problem/C","CF202-D2-C")</f>
        <v>CF202-D2-C</v>
      </c>
      <c r="C783" s="185"/>
      <c r="D783" s="185"/>
      <c r="E783" s="185"/>
      <c r="F783" s="185"/>
      <c r="G783" s="185"/>
      <c r="H783" s="186"/>
      <c r="I783" s="81">
        <f t="shared" si="1"/>
        <v>0</v>
      </c>
      <c r="J783" s="86"/>
      <c r="K783" s="80"/>
      <c r="L783" s="120"/>
      <c r="M783" s="431"/>
      <c r="N783" s="412" t="s">
        <v>1685</v>
      </c>
      <c r="O783" s="412">
        <v>105.0</v>
      </c>
      <c r="P783" s="412">
        <v>4.0</v>
      </c>
    </row>
    <row r="784">
      <c r="A784" s="107" t="s">
        <v>1117</v>
      </c>
      <c r="B784" s="415" t="str">
        <f>HYPERLINK("http://www.spoj.com/problems/DCEPC12E","SPOJ DCEPC12E")</f>
        <v>SPOJ DCEPC12E</v>
      </c>
      <c r="C784" s="185"/>
      <c r="D784" s="185"/>
      <c r="E784" s="185"/>
      <c r="F784" s="185"/>
      <c r="G784" s="185"/>
      <c r="H784" s="186"/>
      <c r="I784" s="81">
        <f t="shared" si="1"/>
        <v>0</v>
      </c>
      <c r="J784" s="86"/>
      <c r="K784" s="80"/>
      <c r="L784" s="434"/>
      <c r="M784" s="430"/>
      <c r="N784" s="412" t="s">
        <v>1686</v>
      </c>
      <c r="O784" s="412">
        <v>105.0</v>
      </c>
      <c r="P784" s="412">
        <v>4.5</v>
      </c>
    </row>
    <row r="785">
      <c r="A785" s="107" t="s">
        <v>215</v>
      </c>
      <c r="B785" s="415" t="str">
        <f>HYPERLINK("https://uva.onlinejudge.org/index.php?option=onlinejudge&amp;page=show_problem&amp;problem=349","UVA 408")</f>
        <v>UVA 408</v>
      </c>
      <c r="C785" s="185"/>
      <c r="D785" s="185"/>
      <c r="E785" s="185"/>
      <c r="F785" s="185"/>
      <c r="G785" s="185"/>
      <c r="H785" s="186"/>
      <c r="I785" s="81">
        <f t="shared" si="1"/>
        <v>0</v>
      </c>
      <c r="J785" s="126"/>
      <c r="K785" s="80"/>
      <c r="L785" s="126"/>
      <c r="M785" s="101" t="str">
        <f>HYPERLINK("https://www.youtube.com/watch?v=VmL4PQIZ-6c","Video Solution - Eng Yahia Ashraf")</f>
        <v>Video Solution - Eng Yahia Ashraf</v>
      </c>
      <c r="N785" s="412" t="s">
        <v>1650</v>
      </c>
      <c r="O785" s="412">
        <v>109.0</v>
      </c>
      <c r="P785" s="412">
        <v>3.0</v>
      </c>
    </row>
    <row r="786">
      <c r="A786" s="107" t="s">
        <v>987</v>
      </c>
      <c r="B786" s="415" t="str">
        <f>HYPERLINK("https://uva.onlinejudge.org/index.php?option=onlinejudge&amp;page=show_problem&amp;problem=2096","UVA 11155")</f>
        <v>UVA 11155</v>
      </c>
      <c r="C786" s="185"/>
      <c r="D786" s="185"/>
      <c r="E786" s="185"/>
      <c r="F786" s="185"/>
      <c r="G786" s="185"/>
      <c r="H786" s="186"/>
      <c r="I786" s="81">
        <f t="shared" si="1"/>
        <v>0</v>
      </c>
      <c r="J786" s="86"/>
      <c r="K786" s="80"/>
      <c r="L786" s="185"/>
      <c r="M786" s="107"/>
      <c r="N786" s="412" t="s">
        <v>1650</v>
      </c>
      <c r="O786" s="412">
        <v>109.0</v>
      </c>
      <c r="P786" s="412">
        <v>5.0</v>
      </c>
    </row>
    <row r="787">
      <c r="A787" s="107" t="s">
        <v>812</v>
      </c>
      <c r="B787" s="415" t="str">
        <f>HYPERLINK("http://codeforces.com/contest/337/problem/C","CF337-D2-C")</f>
        <v>CF337-D2-C</v>
      </c>
      <c r="C787" s="185"/>
      <c r="D787" s="185"/>
      <c r="E787" s="185"/>
      <c r="F787" s="185"/>
      <c r="G787" s="185"/>
      <c r="H787" s="186"/>
      <c r="I787" s="81">
        <f t="shared" si="1"/>
        <v>0</v>
      </c>
      <c r="J787" s="86"/>
      <c r="K787" s="80"/>
      <c r="L787" s="185"/>
      <c r="M787" s="257"/>
      <c r="N787" s="412" t="s">
        <v>1687</v>
      </c>
      <c r="O787" s="412">
        <v>109.0</v>
      </c>
      <c r="P787" s="412">
        <v>5.5</v>
      </c>
      <c r="Q787" s="21" t="s">
        <v>1237</v>
      </c>
    </row>
    <row r="788">
      <c r="A788" s="107" t="s">
        <v>673</v>
      </c>
      <c r="B788" s="415" t="str">
        <f>HYPERLINK("https://uva.onlinejudge.org/index.php?option=onlinejudge&amp;page=show_problem&amp;problem=1432","UVA 10491")</f>
        <v>UVA 10491</v>
      </c>
      <c r="C788" s="185"/>
      <c r="D788" s="185"/>
      <c r="E788" s="185"/>
      <c r="F788" s="185"/>
      <c r="G788" s="185"/>
      <c r="H788" s="186"/>
      <c r="I788" s="81">
        <f t="shared" si="1"/>
        <v>0</v>
      </c>
      <c r="J788" s="86"/>
      <c r="K788" s="80"/>
      <c r="L788" s="185"/>
      <c r="M788" s="432" t="str">
        <f>HYPERLINK("https://www.probabilitycourse.com/","Revise Probability")</f>
        <v>Revise Probability</v>
      </c>
      <c r="N788" s="412" t="s">
        <v>1688</v>
      </c>
      <c r="O788" s="412">
        <v>113.0</v>
      </c>
      <c r="P788" s="412">
        <v>2.0</v>
      </c>
    </row>
    <row r="789">
      <c r="A789" s="107" t="s">
        <v>674</v>
      </c>
      <c r="B789" s="415" t="str">
        <f>HYPERLINK("https://uva.onlinejudge.org/index.php?option=com_onlinejudge&amp;Itemid=8&amp;page=show_problem&amp;problem=997","UVA 10056")</f>
        <v>UVA 10056</v>
      </c>
      <c r="C789" s="185"/>
      <c r="D789" s="185"/>
      <c r="E789" s="185"/>
      <c r="F789" s="185"/>
      <c r="G789" s="185"/>
      <c r="H789" s="186"/>
      <c r="I789" s="81">
        <f t="shared" si="1"/>
        <v>0</v>
      </c>
      <c r="J789" s="86"/>
      <c r="K789" s="80"/>
      <c r="L789" s="185"/>
      <c r="M789" s="432" t="str">
        <f>HYPERLINK("https://github.com/mostafa-saad/MyCompetitiveProgramming/blob/master/UVA/UVA_10056.txt","Sol")</f>
        <v>Sol</v>
      </c>
      <c r="N789" s="412" t="s">
        <v>1689</v>
      </c>
      <c r="O789" s="412">
        <v>113.0</v>
      </c>
      <c r="P789" s="412">
        <v>3.0</v>
      </c>
    </row>
    <row r="790">
      <c r="A790" s="107"/>
      <c r="B790" s="415" t="str">
        <f>HYPERLINK("https://www.hackerrank.com/challenges/sherlock-and-probability","HACKR sherlock-and-probability")</f>
        <v>HACKR sherlock-and-probability</v>
      </c>
      <c r="C790" s="185"/>
      <c r="D790" s="185"/>
      <c r="E790" s="185"/>
      <c r="F790" s="185"/>
      <c r="G790" s="185"/>
      <c r="H790" s="186"/>
      <c r="I790" s="81">
        <f t="shared" si="1"/>
        <v>0</v>
      </c>
      <c r="J790" s="126"/>
      <c r="K790" s="125"/>
      <c r="L790" s="185"/>
      <c r="M790" s="432" t="str">
        <f>HYPERLINK("https://github.com/MohamedNabil97/CompetitiveProgramming/blob/master/Hackerrank/sherlock-and-probability.cpp","Sol")</f>
        <v>Sol</v>
      </c>
      <c r="N790" s="412" t="s">
        <v>1690</v>
      </c>
      <c r="O790" s="412">
        <v>113.0</v>
      </c>
      <c r="P790" s="412">
        <v>3.0</v>
      </c>
    </row>
    <row r="791">
      <c r="A791" s="107" t="s">
        <v>676</v>
      </c>
      <c r="B791" s="415" t="str">
        <f>HYPERLINK("https://uva.onlinejudge.org/index.php?option=com_onlinejudge&amp;Itemid=8&amp;page=show_problem&amp;problem=2122","UVA 11181")</f>
        <v>UVA 11181</v>
      </c>
      <c r="C791" s="185"/>
      <c r="D791" s="185"/>
      <c r="E791" s="185"/>
      <c r="F791" s="185"/>
      <c r="G791" s="185"/>
      <c r="H791" s="186"/>
      <c r="I791" s="81">
        <f t="shared" si="1"/>
        <v>0</v>
      </c>
      <c r="J791" s="86"/>
      <c r="K791" s="80"/>
      <c r="L791" s="185"/>
      <c r="M791" s="432" t="str">
        <f>HYPERLINK("https://github.com/MohamedNabil97/CompetitiveProgramming/blob/master/UVA/1181.cpp","Sol")</f>
        <v>Sol</v>
      </c>
      <c r="N791" s="412" t="s">
        <v>1691</v>
      </c>
      <c r="O791" s="412">
        <v>113.0</v>
      </c>
      <c r="P791" s="412">
        <v>4.0</v>
      </c>
      <c r="Q791" s="21" t="s">
        <v>1235</v>
      </c>
    </row>
    <row r="792">
      <c r="A792" s="107" t="s">
        <v>677</v>
      </c>
      <c r="B792" s="415" t="str">
        <f>HYPERLINK("https://uva.onlinejudge.org/index.php?option=com_onlinejudge&amp;Itemid=8&amp;page=show_problem&amp;problem=2675","UVA 11628")</f>
        <v>UVA 11628</v>
      </c>
      <c r="C792" s="185"/>
      <c r="D792" s="185"/>
      <c r="E792" s="185"/>
      <c r="F792" s="185"/>
      <c r="G792" s="185"/>
      <c r="H792" s="186"/>
      <c r="I792" s="81">
        <f t="shared" si="1"/>
        <v>0</v>
      </c>
      <c r="J792" s="86"/>
      <c r="K792" s="80"/>
      <c r="L792" s="185"/>
      <c r="M792" s="432" t="str">
        <f>HYPERLINK("https://github.com/mostafa-saad/MyCompetitiveProgramming/blob/master/UVA/UVA_11628.txt","Sol")</f>
        <v>Sol</v>
      </c>
      <c r="N792" s="412" t="s">
        <v>1692</v>
      </c>
      <c r="O792" s="412">
        <v>113.0</v>
      </c>
      <c r="P792" s="412">
        <v>4.0</v>
      </c>
    </row>
    <row r="793">
      <c r="A793" s="107" t="s">
        <v>998</v>
      </c>
      <c r="B793" s="415" t="str">
        <f>HYPERLINK("http://codeforces.com/contest/186/problem/D","CF186-D2-D")</f>
        <v>CF186-D2-D</v>
      </c>
      <c r="C793" s="185"/>
      <c r="D793" s="185"/>
      <c r="E793" s="185"/>
      <c r="F793" s="185"/>
      <c r="G793" s="185"/>
      <c r="H793" s="186"/>
      <c r="I793" s="81">
        <f t="shared" si="1"/>
        <v>0</v>
      </c>
      <c r="J793" s="86"/>
      <c r="K793" s="80"/>
      <c r="L793" s="185"/>
      <c r="M793" s="107"/>
      <c r="N793" s="412" t="s">
        <v>1693</v>
      </c>
      <c r="O793" s="412">
        <v>113.0</v>
      </c>
      <c r="P793" s="412">
        <v>5.0</v>
      </c>
      <c r="Q793" s="21" t="s">
        <v>1262</v>
      </c>
    </row>
    <row r="794">
      <c r="A794" s="107"/>
      <c r="B794" s="415" t="str">
        <f>HYPERLINK("http://codeforces.com/gym/101864/problem/A","CF101864-GYM-A")</f>
        <v>CF101864-GYM-A</v>
      </c>
      <c r="C794" s="185"/>
      <c r="D794" s="185"/>
      <c r="E794" s="185"/>
      <c r="F794" s="185"/>
      <c r="G794" s="185"/>
      <c r="H794" s="186"/>
      <c r="I794" s="81">
        <f t="shared" si="1"/>
        <v>0</v>
      </c>
      <c r="J794" s="86"/>
      <c r="K794" s="80"/>
      <c r="L794" s="434"/>
      <c r="M794" s="432" t="str">
        <f>HYPERLINK("https://github.com/SpeedOfMagic/CompetitiveProgramming/blob/master/CodeforcesGym/CF101864-GYM-A.cpp","Sol")</f>
        <v>Sol</v>
      </c>
      <c r="N794" s="412" t="s">
        <v>1694</v>
      </c>
      <c r="O794" s="412">
        <v>113.0</v>
      </c>
      <c r="P794" s="412">
        <v>5.0</v>
      </c>
      <c r="Q794" s="21" t="s">
        <v>1235</v>
      </c>
    </row>
    <row r="795">
      <c r="A795" s="107"/>
      <c r="B795" s="107" t="s">
        <v>1031</v>
      </c>
      <c r="C795" s="185"/>
      <c r="D795" s="185"/>
      <c r="E795" s="185"/>
      <c r="F795" s="185"/>
      <c r="G795" s="185"/>
      <c r="H795" s="186"/>
      <c r="I795" s="81">
        <f t="shared" si="1"/>
        <v>0</v>
      </c>
      <c r="J795" s="120"/>
      <c r="K795" s="185"/>
      <c r="L795" s="434"/>
      <c r="M795" s="428"/>
      <c r="N795" s="412" t="s">
        <v>1695</v>
      </c>
      <c r="O795" s="412">
        <v>113.0</v>
      </c>
      <c r="P795" s="412">
        <v>5.0</v>
      </c>
      <c r="Q795" s="21" t="s">
        <v>1235</v>
      </c>
    </row>
    <row r="796">
      <c r="A796" s="107" t="s">
        <v>678</v>
      </c>
      <c r="B796" s="415" t="str">
        <f>HYPERLINK("https://uva.onlinejudge.org/index.php?option=com_onlinejudge&amp;Itemid=8&amp;page=show_problem&amp;problem=3904","UVA 12461")</f>
        <v>UVA 12461</v>
      </c>
      <c r="C796" s="185"/>
      <c r="D796" s="185"/>
      <c r="E796" s="185"/>
      <c r="F796" s="185"/>
      <c r="G796" s="185"/>
      <c r="H796" s="186"/>
      <c r="I796" s="81">
        <f t="shared" si="1"/>
        <v>0</v>
      </c>
      <c r="J796" s="86"/>
      <c r="K796" s="80"/>
      <c r="L796" s="185"/>
      <c r="M796" s="265" t="str">
        <f>HYPERLINK("https://github.com/VAMPIER000001/CompetitiveProgramming/blob/master/UVA/V-124/UVA%2012461.Cpp","Sol")</f>
        <v>Sol</v>
      </c>
      <c r="N796" s="412" t="s">
        <v>1696</v>
      </c>
      <c r="O796" s="412">
        <v>113.0</v>
      </c>
      <c r="P796" s="412">
        <v>5.0</v>
      </c>
      <c r="Q796" s="21" t="s">
        <v>1231</v>
      </c>
    </row>
    <row r="797">
      <c r="A797" s="107" t="s">
        <v>1186</v>
      </c>
      <c r="B797" s="415" t="str">
        <f>HYPERLINK("https://uva.onlinejudge.org/index.php?option=onlinejudge&amp;page=show_problem&amp;problem=2321","UVa 11346")</f>
        <v>UVa 11346</v>
      </c>
      <c r="C797" s="185"/>
      <c r="D797" s="185"/>
      <c r="E797" s="185"/>
      <c r="F797" s="185"/>
      <c r="G797" s="185"/>
      <c r="H797" s="186"/>
      <c r="I797" s="81">
        <f t="shared" si="1"/>
        <v>0</v>
      </c>
      <c r="J797" s="120"/>
      <c r="K797" s="185"/>
      <c r="L797" s="185"/>
      <c r="M797" s="321" t="str">
        <f>HYPERLINK("https://github.com/VAMPIER000001/CompetitiveProgramming/blob/master/UVA/V-113/UVA%2011346.cpp","Sol")</f>
        <v>Sol</v>
      </c>
      <c r="N797" s="412" t="s">
        <v>1697</v>
      </c>
      <c r="O797" s="412">
        <v>113.0</v>
      </c>
      <c r="P797" s="412">
        <v>5.25</v>
      </c>
      <c r="Q797" s="21" t="s">
        <v>1237</v>
      </c>
    </row>
    <row r="798">
      <c r="A798" s="107"/>
      <c r="B798" s="107" t="s">
        <v>1069</v>
      </c>
      <c r="C798" s="185"/>
      <c r="D798" s="185"/>
      <c r="E798" s="185"/>
      <c r="F798" s="185"/>
      <c r="G798" s="185"/>
      <c r="H798" s="186"/>
      <c r="I798" s="81">
        <f t="shared" si="1"/>
        <v>0</v>
      </c>
      <c r="J798" s="126"/>
      <c r="K798" s="125"/>
      <c r="L798" s="185"/>
      <c r="M798" s="428"/>
      <c r="N798" s="412" t="s">
        <v>1698</v>
      </c>
      <c r="O798" s="412">
        <v>113.0</v>
      </c>
      <c r="P798" s="412">
        <v>5.5</v>
      </c>
      <c r="Q798" s="21"/>
    </row>
    <row r="799">
      <c r="A799" s="107"/>
      <c r="B799" s="415" t="str">
        <f>HYPERLINK("http://codeforces.com/contest/26/problem/D","CF26-D12-D")</f>
        <v>CF26-D12-D</v>
      </c>
      <c r="C799" s="185"/>
      <c r="D799" s="185"/>
      <c r="E799" s="185"/>
      <c r="F799" s="185"/>
      <c r="G799" s="185"/>
      <c r="H799" s="186"/>
      <c r="I799" s="81">
        <f t="shared" si="1"/>
        <v>0</v>
      </c>
      <c r="J799" s="126"/>
      <c r="K799" s="125"/>
      <c r="L799" s="185"/>
      <c r="M799" s="321" t="str">
        <f>HYPERLINK("https://github.com/mostafa-saad/MyCompetitiveProgramming/blob/master/Codeforces/CF26-D12-D.txt","Sol - must read")</f>
        <v>Sol - must read</v>
      </c>
      <c r="N799" s="412" t="s">
        <v>1699</v>
      </c>
      <c r="O799" s="412">
        <v>113.0</v>
      </c>
      <c r="P799" s="412">
        <v>5.5</v>
      </c>
      <c r="Q799" s="21" t="s">
        <v>1237</v>
      </c>
    </row>
    <row r="800">
      <c r="A800" s="107"/>
      <c r="B800" s="415" t="str">
        <f>HYPERLINK("http://codeforces.com/problemset/problem/442/B","CF442-D1-B")</f>
        <v>CF442-D1-B</v>
      </c>
      <c r="C800" s="185"/>
      <c r="D800" s="185"/>
      <c r="E800" s="185"/>
      <c r="F800" s="185"/>
      <c r="G800" s="185"/>
      <c r="H800" s="186"/>
      <c r="I800" s="81">
        <f t="shared" si="1"/>
        <v>0</v>
      </c>
      <c r="J800" s="126"/>
      <c r="K800" s="125"/>
      <c r="L800" s="185"/>
      <c r="M800" s="430"/>
      <c r="N800" s="412" t="s">
        <v>1700</v>
      </c>
      <c r="O800" s="412">
        <v>113.0</v>
      </c>
      <c r="P800" s="412">
        <v>5.5</v>
      </c>
      <c r="Q800" s="21" t="s">
        <v>1237</v>
      </c>
    </row>
    <row r="801">
      <c r="A801" s="107"/>
      <c r="B801" s="107" t="s">
        <v>1103</v>
      </c>
      <c r="C801" s="185"/>
      <c r="D801" s="185"/>
      <c r="E801" s="185"/>
      <c r="F801" s="185"/>
      <c r="G801" s="185"/>
      <c r="H801" s="186"/>
      <c r="I801" s="81">
        <f t="shared" si="1"/>
        <v>0</v>
      </c>
      <c r="J801" s="86"/>
      <c r="K801" s="80"/>
      <c r="L801" s="185"/>
      <c r="M801" s="435"/>
      <c r="N801" s="412" t="s">
        <v>1701</v>
      </c>
      <c r="O801" s="412">
        <v>113.0</v>
      </c>
      <c r="P801" s="412">
        <v>5.5</v>
      </c>
    </row>
    <row r="802">
      <c r="A802" s="107"/>
      <c r="B802" s="415" t="str">
        <f>HYPERLINK("http://codeforces.com/contest/513/problem/C","CF513-D12-C")</f>
        <v>CF513-D12-C</v>
      </c>
      <c r="C802" s="185"/>
      <c r="D802" s="185"/>
      <c r="E802" s="185"/>
      <c r="F802" s="185"/>
      <c r="G802" s="185"/>
      <c r="H802" s="186"/>
      <c r="I802" s="81">
        <f t="shared" si="1"/>
        <v>0</v>
      </c>
      <c r="J802" s="120"/>
      <c r="K802" s="185"/>
      <c r="L802" s="434"/>
      <c r="M802" s="432" t="str">
        <f>HYPERLINK("https://github.com/aabdelzaher/Competitive-Programming/blob/master/Codeforces/CF513-D12-C.java","Sol")</f>
        <v>Sol</v>
      </c>
      <c r="N802" s="412" t="s">
        <v>1702</v>
      </c>
      <c r="O802" s="412">
        <v>113.0</v>
      </c>
      <c r="P802" s="412">
        <v>6.0</v>
      </c>
      <c r="Q802" s="21" t="s">
        <v>1237</v>
      </c>
    </row>
    <row r="803">
      <c r="A803" s="107"/>
      <c r="B803" s="107" t="s">
        <v>1068</v>
      </c>
      <c r="C803" s="185"/>
      <c r="D803" s="185"/>
      <c r="E803" s="185"/>
      <c r="F803" s="185"/>
      <c r="G803" s="185"/>
      <c r="H803" s="186"/>
      <c r="I803" s="81">
        <f t="shared" si="1"/>
        <v>0</v>
      </c>
      <c r="J803" s="126"/>
      <c r="K803" s="125"/>
      <c r="L803" s="185"/>
      <c r="M803" s="432" t="str">
        <f>HYPERLINK("https://github.com/aboodJAD/CompetitiveProgramming/blob/master/UVA/UVA%20557.cpp","Sol")</f>
        <v>Sol</v>
      </c>
      <c r="N803" s="412" t="s">
        <v>1703</v>
      </c>
      <c r="O803" s="412">
        <v>113.0</v>
      </c>
      <c r="P803" s="412">
        <v>6.0</v>
      </c>
    </row>
    <row r="804">
      <c r="A804" s="107"/>
      <c r="B804" s="107" t="s">
        <v>610</v>
      </c>
      <c r="C804" s="185"/>
      <c r="D804" s="185"/>
      <c r="E804" s="185"/>
      <c r="F804" s="185"/>
      <c r="G804" s="185"/>
      <c r="H804" s="186"/>
      <c r="I804" s="81">
        <f t="shared" si="1"/>
        <v>0</v>
      </c>
      <c r="J804" s="86"/>
      <c r="K804" s="80"/>
      <c r="L804" s="185"/>
      <c r="M804" s="432" t="str">
        <f>HYPERLINK("https://stackoverflow.com/questions/25281005/calculating-probability-for-funprob","Sol")</f>
        <v>Sol</v>
      </c>
      <c r="N804" s="412" t="s">
        <v>1704</v>
      </c>
      <c r="O804" s="412">
        <v>113.0</v>
      </c>
      <c r="P804" s="412">
        <v>6.0</v>
      </c>
    </row>
    <row r="805">
      <c r="A805" s="107"/>
      <c r="B805" s="415" t="str">
        <f>HYPERLINK("http://codeforces.com/contest/163/problem/C","CF163-D12-C")</f>
        <v>CF163-D12-C</v>
      </c>
      <c r="C805" s="185"/>
      <c r="D805" s="185"/>
      <c r="E805" s="185"/>
      <c r="F805" s="185"/>
      <c r="G805" s="185"/>
      <c r="H805" s="186"/>
      <c r="I805" s="81">
        <f t="shared" si="1"/>
        <v>0</v>
      </c>
      <c r="J805" s="126"/>
      <c r="K805" s="125"/>
      <c r="L805" s="185"/>
      <c r="M805" s="430"/>
      <c r="N805" s="412" t="s">
        <v>1689</v>
      </c>
      <c r="O805" s="412">
        <v>113.0</v>
      </c>
      <c r="P805" s="412">
        <v>6.25</v>
      </c>
    </row>
    <row r="806">
      <c r="A806" s="107"/>
      <c r="B806" s="415" t="str">
        <f>HYPERLINK("http://codeforces.com/contest/110/problem/D","CF110-D2-D")</f>
        <v>CF110-D2-D</v>
      </c>
      <c r="C806" s="185"/>
      <c r="D806" s="185"/>
      <c r="E806" s="185"/>
      <c r="F806" s="185"/>
      <c r="G806" s="185"/>
      <c r="H806" s="186"/>
      <c r="I806" s="81">
        <f t="shared" si="1"/>
        <v>0</v>
      </c>
      <c r="J806" s="126"/>
      <c r="K806" s="125"/>
      <c r="L806" s="185"/>
      <c r="M806" s="430"/>
      <c r="N806" s="412" t="s">
        <v>1705</v>
      </c>
      <c r="O806" s="412">
        <v>113.0</v>
      </c>
      <c r="P806" s="412">
        <v>6.25</v>
      </c>
    </row>
    <row r="807">
      <c r="A807" s="107" t="s">
        <v>833</v>
      </c>
      <c r="B807" s="415" t="str">
        <f>HYPERLINK("https://uva.onlinejudge.org/index.php?option=com_onlinejudge&amp;Itemid=8&amp;page=show_problem&amp;problem=1718","UVA 10777")</f>
        <v>UVA 10777</v>
      </c>
      <c r="C807" s="185"/>
      <c r="D807" s="185"/>
      <c r="E807" s="185"/>
      <c r="F807" s="185"/>
      <c r="G807" s="185"/>
      <c r="H807" s="186"/>
      <c r="I807" s="81">
        <f t="shared" si="1"/>
        <v>0</v>
      </c>
      <c r="J807" s="86"/>
      <c r="K807" s="80"/>
      <c r="L807" s="185"/>
      <c r="M807" s="432" t="str">
        <f>HYPERLINK("https://github.com/ilyesG/Competitive-Programming/blob/master/UVA/UVA%2010777.cpp","Sol")</f>
        <v>Sol</v>
      </c>
      <c r="N807" s="412" t="s">
        <v>1706</v>
      </c>
      <c r="O807" s="412">
        <v>114.0</v>
      </c>
      <c r="P807" s="412">
        <v>4.0</v>
      </c>
    </row>
    <row r="808">
      <c r="A808" s="107"/>
      <c r="B808" s="107" t="s">
        <v>734</v>
      </c>
      <c r="C808" s="185"/>
      <c r="D808" s="185"/>
      <c r="E808" s="185"/>
      <c r="F808" s="185"/>
      <c r="G808" s="185"/>
      <c r="H808" s="186"/>
      <c r="I808" s="81">
        <f t="shared" si="1"/>
        <v>0</v>
      </c>
      <c r="J808" s="86"/>
      <c r="K808" s="80"/>
      <c r="L808" s="185"/>
      <c r="M808" s="269"/>
      <c r="N808" s="412" t="s">
        <v>1707</v>
      </c>
      <c r="O808" s="412">
        <v>114.0</v>
      </c>
      <c r="P808" s="412">
        <v>4.0</v>
      </c>
    </row>
    <row r="809">
      <c r="A809" s="107"/>
      <c r="B809" s="415" t="str">
        <f>HYPERLINK("http://codeforces.com/contest/839/problem/C","CF839-D2-C")</f>
        <v>CF839-D2-C</v>
      </c>
      <c r="C809" s="185"/>
      <c r="D809" s="185"/>
      <c r="E809" s="185"/>
      <c r="F809" s="185"/>
      <c r="G809" s="185"/>
      <c r="H809" s="186"/>
      <c r="I809" s="81">
        <f t="shared" si="1"/>
        <v>0</v>
      </c>
      <c r="J809" s="86"/>
      <c r="K809" s="80"/>
      <c r="L809" s="185"/>
      <c r="M809" s="257"/>
      <c r="N809" s="412" t="s">
        <v>1708</v>
      </c>
      <c r="O809" s="412">
        <v>114.0</v>
      </c>
      <c r="P809" s="412">
        <v>4.0</v>
      </c>
    </row>
    <row r="810">
      <c r="A810" s="107"/>
      <c r="B810" s="415" t="str">
        <f>HYPERLINK("https://www.hackerrank.com/challenges/lazy-sorting","HACKR lazy-sorting")</f>
        <v>HACKR lazy-sorting</v>
      </c>
      <c r="C810" s="185"/>
      <c r="D810" s="185"/>
      <c r="E810" s="185"/>
      <c r="F810" s="185"/>
      <c r="G810" s="185"/>
      <c r="H810" s="186"/>
      <c r="I810" s="81">
        <f t="shared" si="1"/>
        <v>0</v>
      </c>
      <c r="J810" s="86"/>
      <c r="K810" s="80"/>
      <c r="L810" s="185"/>
      <c r="M810" s="432" t="str">
        <f>HYPERLINK("https://www.youtube.com/watch?v=j__Kredt7vY","Revise Expected Value")</f>
        <v>Revise Expected Value</v>
      </c>
      <c r="N810" s="412" t="s">
        <v>1709</v>
      </c>
      <c r="O810" s="412">
        <v>114.0</v>
      </c>
      <c r="P810" s="412">
        <v>4.0</v>
      </c>
    </row>
    <row r="811">
      <c r="A811" s="107" t="s">
        <v>944</v>
      </c>
      <c r="B811" s="415" t="str">
        <f>HYPERLINK("http://codeforces.com/contest/443/problem/D","CF443-D2-D")</f>
        <v>CF443-D2-D</v>
      </c>
      <c r="C811" s="185"/>
      <c r="D811" s="185"/>
      <c r="E811" s="185"/>
      <c r="F811" s="185"/>
      <c r="G811" s="185"/>
      <c r="H811" s="186"/>
      <c r="I811" s="81">
        <f t="shared" si="1"/>
        <v>0</v>
      </c>
      <c r="J811" s="126"/>
      <c r="K811" s="125"/>
      <c r="L811" s="434"/>
      <c r="M811" s="321" t="str">
        <f>HYPERLINK("http://codeforces.com/contest/443/submission/27060632","Sol")</f>
        <v>Sol</v>
      </c>
      <c r="N811" s="412" t="s">
        <v>1710</v>
      </c>
      <c r="O811" s="412">
        <v>114.0</v>
      </c>
      <c r="P811" s="412">
        <v>4.5</v>
      </c>
      <c r="Q811" s="21" t="s">
        <v>1237</v>
      </c>
    </row>
    <row r="812">
      <c r="A812" s="107" t="s">
        <v>739</v>
      </c>
      <c r="B812" s="415" t="str">
        <f>HYPERLINK("http://codeforces.com/contest/621/problem/C","CF621-D2-C")</f>
        <v>CF621-D2-C</v>
      </c>
      <c r="C812" s="185"/>
      <c r="D812" s="185"/>
      <c r="E812" s="185"/>
      <c r="F812" s="185"/>
      <c r="G812" s="185"/>
      <c r="H812" s="186"/>
      <c r="I812" s="81">
        <f t="shared" si="1"/>
        <v>0</v>
      </c>
      <c r="J812" s="86"/>
      <c r="K812" s="80"/>
      <c r="L812" s="120"/>
      <c r="M812" s="257"/>
      <c r="N812" s="412" t="s">
        <v>1711</v>
      </c>
      <c r="O812" s="412">
        <v>114.0</v>
      </c>
      <c r="P812" s="412">
        <v>4.5</v>
      </c>
    </row>
    <row r="813">
      <c r="A813" s="107" t="s">
        <v>1712</v>
      </c>
      <c r="B813" s="415" t="str">
        <f>HYPERLINK("http://codeforces.com/contest/454/problem/C","CF454-D2-C")</f>
        <v>CF454-D2-C</v>
      </c>
      <c r="C813" s="185"/>
      <c r="D813" s="185"/>
      <c r="E813" s="185"/>
      <c r="F813" s="185"/>
      <c r="G813" s="185"/>
      <c r="H813" s="186"/>
      <c r="I813" s="81">
        <f t="shared" si="1"/>
        <v>0</v>
      </c>
      <c r="J813" s="86"/>
      <c r="K813" s="80"/>
      <c r="L813" s="185"/>
      <c r="M813" s="431"/>
      <c r="N813" s="412" t="s">
        <v>1713</v>
      </c>
      <c r="O813" s="412">
        <v>114.0</v>
      </c>
      <c r="P813" s="412">
        <v>4.5</v>
      </c>
    </row>
    <row r="814">
      <c r="A814" s="107"/>
      <c r="B814" s="415" t="str">
        <f>HYPERLINK("https://www.hackerrank.com/challenges/vertical-sticks","HACKR vertical-sticks")</f>
        <v>HACKR vertical-sticks</v>
      </c>
      <c r="C814" s="185"/>
      <c r="D814" s="185"/>
      <c r="E814" s="185"/>
      <c r="F814" s="185"/>
      <c r="G814" s="185"/>
      <c r="H814" s="186"/>
      <c r="I814" s="81">
        <f t="shared" si="1"/>
        <v>0</v>
      </c>
      <c r="J814" s="126"/>
      <c r="K814" s="125"/>
      <c r="L814" s="185"/>
      <c r="M814" s="428"/>
      <c r="N814" s="412" t="s">
        <v>1714</v>
      </c>
      <c r="O814" s="412">
        <v>114.0</v>
      </c>
      <c r="P814" s="412">
        <v>5.0</v>
      </c>
      <c r="Q814" s="21" t="s">
        <v>1237</v>
      </c>
    </row>
    <row r="815">
      <c r="A815" s="107"/>
      <c r="B815" s="107" t="s">
        <v>834</v>
      </c>
      <c r="C815" s="185"/>
      <c r="D815" s="185"/>
      <c r="E815" s="185"/>
      <c r="F815" s="185"/>
      <c r="G815" s="185"/>
      <c r="H815" s="186"/>
      <c r="I815" s="81">
        <f t="shared" si="1"/>
        <v>0</v>
      </c>
      <c r="J815" s="86"/>
      <c r="K815" s="80"/>
      <c r="L815" s="185"/>
      <c r="M815" s="257"/>
      <c r="N815" s="412" t="s">
        <v>1715</v>
      </c>
      <c r="O815" s="412">
        <v>114.0</v>
      </c>
      <c r="P815" s="412">
        <v>5.0</v>
      </c>
      <c r="Q815" s="21" t="s">
        <v>1237</v>
      </c>
    </row>
    <row r="816">
      <c r="A816" s="107"/>
      <c r="B816" s="107" t="s">
        <v>1187</v>
      </c>
      <c r="C816" s="185"/>
      <c r="D816" s="185"/>
      <c r="E816" s="185"/>
      <c r="F816" s="185"/>
      <c r="G816" s="185"/>
      <c r="H816" s="186"/>
      <c r="I816" s="81">
        <f t="shared" si="1"/>
        <v>0</v>
      </c>
      <c r="J816" s="120"/>
      <c r="K816" s="185"/>
      <c r="L816" s="185"/>
      <c r="M816" s="266"/>
      <c r="N816" s="412" t="s">
        <v>1711</v>
      </c>
      <c r="O816" s="412">
        <v>114.0</v>
      </c>
      <c r="P816" s="412">
        <v>5.5</v>
      </c>
      <c r="Q816" s="21" t="s">
        <v>1235</v>
      </c>
    </row>
    <row r="817">
      <c r="A817" s="107"/>
      <c r="B817" s="415" t="str">
        <f>HYPERLINK("http://codeforces.com/contest/500/problem/D","CF500-D12-D")</f>
        <v>CF500-D12-D</v>
      </c>
      <c r="C817" s="185"/>
      <c r="D817" s="185"/>
      <c r="E817" s="185"/>
      <c r="F817" s="185"/>
      <c r="G817" s="185"/>
      <c r="H817" s="186"/>
      <c r="I817" s="81">
        <f t="shared" si="1"/>
        <v>0</v>
      </c>
      <c r="J817" s="126"/>
      <c r="K817" s="125"/>
      <c r="L817" s="185"/>
      <c r="M817" s="428"/>
      <c r="N817" s="412" t="s">
        <v>1708</v>
      </c>
      <c r="O817" s="412">
        <v>114.0</v>
      </c>
      <c r="P817" s="412">
        <v>5.5</v>
      </c>
      <c r="Q817" s="21" t="s">
        <v>1235</v>
      </c>
    </row>
    <row r="818">
      <c r="A818" s="107"/>
      <c r="B818" s="415" t="str">
        <f>HYPERLINK("http://codeforces.com/contest/280/problem/C","CF280-D1-C")</f>
        <v>CF280-D1-C</v>
      </c>
      <c r="C818" s="185"/>
      <c r="D818" s="185"/>
      <c r="E818" s="185"/>
      <c r="F818" s="185"/>
      <c r="G818" s="185"/>
      <c r="H818" s="186"/>
      <c r="I818" s="81">
        <f t="shared" si="1"/>
        <v>0</v>
      </c>
      <c r="J818" s="126"/>
      <c r="K818" s="125"/>
      <c r="L818" s="185"/>
      <c r="M818" s="430"/>
      <c r="N818" s="412" t="s">
        <v>1716</v>
      </c>
      <c r="O818" s="412">
        <v>114.0</v>
      </c>
      <c r="P818" s="412">
        <v>6.0</v>
      </c>
      <c r="Q818" s="21" t="s">
        <v>1237</v>
      </c>
    </row>
    <row r="819">
      <c r="A819" s="107" t="s">
        <v>1011</v>
      </c>
      <c r="B819" s="415" t="str">
        <f>HYPERLINK("http://codeforces.com/contest/268/problem/E","CF268-D2-E")</f>
        <v>CF268-D2-E</v>
      </c>
      <c r="C819" s="185"/>
      <c r="D819" s="185"/>
      <c r="E819" s="185"/>
      <c r="F819" s="185"/>
      <c r="G819" s="185"/>
      <c r="H819" s="186"/>
      <c r="I819" s="81">
        <f t="shared" si="1"/>
        <v>0</v>
      </c>
      <c r="J819" s="126"/>
      <c r="K819" s="125"/>
      <c r="L819" s="434"/>
      <c r="M819" s="432" t="str">
        <f>HYPERLINK("https://github.com/3agwa/CompetitiveProgramming/blob/master/CodeForces/CF268-D2-E.cpp","Sol")</f>
        <v>Sol</v>
      </c>
      <c r="N819" s="412" t="s">
        <v>1717</v>
      </c>
      <c r="O819" s="412">
        <v>114.0</v>
      </c>
      <c r="P819" s="412">
        <v>6.0</v>
      </c>
      <c r="Q819" s="21" t="s">
        <v>1237</v>
      </c>
    </row>
    <row r="820">
      <c r="A820" s="107" t="s">
        <v>400</v>
      </c>
      <c r="B820" s="415" t="str">
        <f>HYPERLINK("https://uva.onlinejudge.org/index.php?option=onlinejudge&amp;page=show_problem&amp;problem=310","UVA 374")</f>
        <v>UVA 374</v>
      </c>
      <c r="C820" s="185"/>
      <c r="D820" s="185"/>
      <c r="E820" s="185"/>
      <c r="F820" s="185"/>
      <c r="G820" s="185"/>
      <c r="H820" s="186"/>
      <c r="I820" s="81">
        <f t="shared" si="1"/>
        <v>0</v>
      </c>
      <c r="J820" s="86"/>
      <c r="K820" s="80"/>
      <c r="L820" s="185"/>
      <c r="M820" s="257"/>
      <c r="N820" s="412" t="s">
        <v>1718</v>
      </c>
      <c r="O820" s="412">
        <v>115.0</v>
      </c>
      <c r="P820" s="412">
        <v>3.0</v>
      </c>
    </row>
    <row r="821">
      <c r="A821" s="107" t="s">
        <v>579</v>
      </c>
      <c r="B821" s="415" t="str">
        <f>HYPERLINK("https://uva.onlinejudge.org/index.php?option=onlinejudge&amp;page=show_problem&amp;problem=1335","UVA 10394")</f>
        <v>UVA 10394</v>
      </c>
      <c r="C821" s="185"/>
      <c r="D821" s="185"/>
      <c r="E821" s="185"/>
      <c r="F821" s="185"/>
      <c r="G821" s="185"/>
      <c r="H821" s="186"/>
      <c r="I821" s="81">
        <f t="shared" si="1"/>
        <v>0</v>
      </c>
      <c r="J821" s="86"/>
      <c r="K821" s="80"/>
      <c r="L821" s="185"/>
      <c r="M821" s="237"/>
      <c r="N821" s="412" t="s">
        <v>1719</v>
      </c>
      <c r="O821" s="412">
        <v>117.0</v>
      </c>
      <c r="P821" s="412">
        <v>3.0</v>
      </c>
    </row>
    <row r="822">
      <c r="A822" s="107" t="s">
        <v>827</v>
      </c>
      <c r="B822" s="415" t="str">
        <f>HYPERLINK("https://uva.onlinejudge.org/index.php?option=com_onlinejudge&amp;Itemid=8&amp;page=show_problem&amp;problem=825","UVA 884")</f>
        <v>UVA 884</v>
      </c>
      <c r="C822" s="185"/>
      <c r="D822" s="185"/>
      <c r="E822" s="185"/>
      <c r="F822" s="185"/>
      <c r="G822" s="185"/>
      <c r="H822" s="186"/>
      <c r="I822" s="81">
        <f t="shared" si="1"/>
        <v>0</v>
      </c>
      <c r="J822" s="86"/>
      <c r="K822" s="80"/>
      <c r="L822" s="185"/>
      <c r="M822" s="257"/>
      <c r="N822" s="412" t="s">
        <v>1720</v>
      </c>
      <c r="O822" s="412">
        <v>117.0</v>
      </c>
      <c r="P822" s="412">
        <v>3.5</v>
      </c>
    </row>
    <row r="823">
      <c r="A823" s="107" t="s">
        <v>1179</v>
      </c>
      <c r="B823" s="415" t="str">
        <f>HYPERLINK("http://www.spoj.com/problems/PSYCHON/","SPOJ PSYCHON")</f>
        <v>SPOJ PSYCHON</v>
      </c>
      <c r="C823" s="185"/>
      <c r="D823" s="185"/>
      <c r="E823" s="185"/>
      <c r="F823" s="185"/>
      <c r="G823" s="185"/>
      <c r="H823" s="186"/>
      <c r="I823" s="81">
        <f t="shared" si="1"/>
        <v>0</v>
      </c>
      <c r="J823" s="86"/>
      <c r="K823" s="80"/>
      <c r="L823" s="434"/>
      <c r="M823" s="435"/>
      <c r="N823" s="412" t="s">
        <v>1721</v>
      </c>
      <c r="O823" s="412">
        <v>117.0</v>
      </c>
      <c r="P823" s="412">
        <v>4.0</v>
      </c>
      <c r="Q823" s="21" t="s">
        <v>1235</v>
      </c>
    </row>
    <row r="824">
      <c r="A824" s="107" t="s">
        <v>580</v>
      </c>
      <c r="B824" s="415" t="str">
        <f>HYPERLINK("https://uva.onlinejudge.org/index.php?option=onlinejudge&amp;page=show_problem&amp;problem=1109","UVA 10168")</f>
        <v>UVA 10168</v>
      </c>
      <c r="C824" s="185"/>
      <c r="D824" s="185"/>
      <c r="E824" s="185"/>
      <c r="F824" s="185"/>
      <c r="G824" s="185"/>
      <c r="H824" s="186"/>
      <c r="I824" s="81">
        <f t="shared" si="1"/>
        <v>0</v>
      </c>
      <c r="J824" s="86"/>
      <c r="K824" s="80"/>
      <c r="L824" s="185"/>
      <c r="M824" s="195" t="str">
        <f>HYPERLINK("https://www.youtube.com/watch?v=BztjeBZmzco&amp;feature=youtu.be","Video Solution - Eng Moaz Rashad")</f>
        <v>Video Solution - Eng Moaz Rashad</v>
      </c>
      <c r="N824" s="412" t="s">
        <v>1719</v>
      </c>
      <c r="O824" s="412">
        <v>117.0</v>
      </c>
      <c r="P824" s="412">
        <v>4.0</v>
      </c>
    </row>
    <row r="825">
      <c r="A825" s="107" t="s">
        <v>775</v>
      </c>
      <c r="B825" s="415" t="str">
        <f>HYPERLINK("http://codeforces.com/contest/569/problem/C","CF569-D2-C")</f>
        <v>CF569-D2-C</v>
      </c>
      <c r="C825" s="185"/>
      <c r="D825" s="185"/>
      <c r="E825" s="185"/>
      <c r="F825" s="185"/>
      <c r="G825" s="185"/>
      <c r="H825" s="186"/>
      <c r="I825" s="81">
        <f t="shared" si="1"/>
        <v>0</v>
      </c>
      <c r="J825" s="86"/>
      <c r="K825" s="80"/>
      <c r="L825" s="120"/>
      <c r="M825" s="431"/>
      <c r="N825" s="412" t="s">
        <v>1722</v>
      </c>
      <c r="O825" s="412">
        <v>117.0</v>
      </c>
      <c r="P825" s="412">
        <v>4.5</v>
      </c>
      <c r="Q825" s="21" t="s">
        <v>1237</v>
      </c>
    </row>
    <row r="826">
      <c r="A826" s="107" t="s">
        <v>766</v>
      </c>
      <c r="B826" s="415" t="str">
        <f>HYPERLINK("https://uva.onlinejudge.org/index.php?option=onlinejudge&amp;page=show_problem&amp;problem=1425","UVA 10484")</f>
        <v>UVA 10484</v>
      </c>
      <c r="C826" s="185"/>
      <c r="D826" s="185"/>
      <c r="E826" s="185"/>
      <c r="F826" s="185"/>
      <c r="G826" s="185"/>
      <c r="H826" s="186"/>
      <c r="I826" s="81">
        <f t="shared" si="1"/>
        <v>0</v>
      </c>
      <c r="J826" s="86"/>
      <c r="K826" s="80"/>
      <c r="L826" s="120"/>
      <c r="M826" s="418" t="str">
        <f>HYPERLINK("https://github.com/mostafa-saad/MyCompetitiveProgramming/blob/master/UVA/UVA_10484.txt","Sol to read")</f>
        <v>Sol to read</v>
      </c>
      <c r="N826" s="412" t="s">
        <v>1719</v>
      </c>
      <c r="O826" s="412">
        <v>117.0</v>
      </c>
      <c r="P826" s="412">
        <v>4.5</v>
      </c>
      <c r="Q826" s="21" t="s">
        <v>1235</v>
      </c>
    </row>
    <row r="827">
      <c r="A827" s="107"/>
      <c r="B827" s="107" t="s">
        <v>1130</v>
      </c>
      <c r="C827" s="185"/>
      <c r="D827" s="185"/>
      <c r="E827" s="185"/>
      <c r="F827" s="185"/>
      <c r="G827" s="185"/>
      <c r="H827" s="186"/>
      <c r="I827" s="81">
        <f t="shared" si="1"/>
        <v>0</v>
      </c>
      <c r="J827" s="120"/>
      <c r="K827" s="185"/>
      <c r="L827" s="434"/>
      <c r="M827" s="435"/>
      <c r="N827" s="412" t="s">
        <v>1723</v>
      </c>
      <c r="O827" s="412">
        <v>117.0</v>
      </c>
      <c r="P827" s="412">
        <v>5.5</v>
      </c>
      <c r="Q827" s="21" t="s">
        <v>1235</v>
      </c>
    </row>
    <row r="828">
      <c r="A828" s="107" t="s">
        <v>1201</v>
      </c>
      <c r="B828" s="415" t="str">
        <f>HYPERLINK("https://uva.onlinejudge.org/index.php?option=com_onlinejudge&amp;Itemid=8&amp;page=show_problem&amp;problem=1683","UVA 10742")</f>
        <v>UVA 10742</v>
      </c>
      <c r="C828" s="185"/>
      <c r="D828" s="185"/>
      <c r="E828" s="185"/>
      <c r="F828" s="185"/>
      <c r="G828" s="185"/>
      <c r="H828" s="186"/>
      <c r="I828" s="81">
        <f t="shared" si="1"/>
        <v>0</v>
      </c>
      <c r="J828" s="86"/>
      <c r="K828" s="80"/>
      <c r="L828" s="434"/>
      <c r="M828" s="321" t="str">
        <f>HYPERLINK("https://github.com/abdullaAshraf/Problem-Solving/blob/master/UVA/10742.cpp","Sol")</f>
        <v>Sol</v>
      </c>
      <c r="N828" s="412" t="s">
        <v>1724</v>
      </c>
      <c r="O828" s="412">
        <v>117.0</v>
      </c>
      <c r="P828" s="412">
        <v>5.5</v>
      </c>
    </row>
    <row r="829">
      <c r="A829" s="107" t="s">
        <v>1174</v>
      </c>
      <c r="B829" s="415" t="str">
        <f>HYPERLINK("https://uva.onlinejudge.org/index.php?option=com_onlinejudge&amp;Itemid=8&amp;page=show_problem&amp;problem=1360","UVA 10419")</f>
        <v>UVA 10419</v>
      </c>
      <c r="C829" s="185"/>
      <c r="D829" s="185"/>
      <c r="E829" s="185"/>
      <c r="F829" s="185"/>
      <c r="G829" s="185"/>
      <c r="H829" s="186"/>
      <c r="I829" s="81">
        <f t="shared" si="1"/>
        <v>0</v>
      </c>
      <c r="J829" s="86"/>
      <c r="K829" s="80"/>
      <c r="L829" s="434"/>
      <c r="M829" s="321" t="str">
        <f>HYPERLINK("https://github.com/BRAINOOOO/CompetitiveProgramming/blob/master/UVA/V-104/UVA%2010419.Cpp","Sol")</f>
        <v>Sol</v>
      </c>
      <c r="N829" s="412" t="s">
        <v>1725</v>
      </c>
      <c r="O829" s="412">
        <v>117.0</v>
      </c>
      <c r="P829" s="412">
        <v>5.5</v>
      </c>
    </row>
    <row r="830">
      <c r="A830" s="107" t="s">
        <v>600</v>
      </c>
      <c r="B830" s="415" t="str">
        <f>HYPERLINK("http://codeforces.com/contest/227/problem/C","CF227-D2-C")</f>
        <v>CF227-D2-C</v>
      </c>
      <c r="C830" s="185"/>
      <c r="D830" s="185"/>
      <c r="E830" s="185"/>
      <c r="F830" s="185"/>
      <c r="G830" s="185"/>
      <c r="H830" s="186"/>
      <c r="I830" s="81">
        <f t="shared" si="1"/>
        <v>0</v>
      </c>
      <c r="J830" s="86"/>
      <c r="K830" s="80"/>
      <c r="L830" s="185"/>
      <c r="M830" s="431"/>
      <c r="N830" s="412" t="s">
        <v>1726</v>
      </c>
      <c r="O830" s="412">
        <v>118.0</v>
      </c>
      <c r="P830" s="412">
        <v>4.5</v>
      </c>
      <c r="Q830" s="21" t="s">
        <v>1237</v>
      </c>
    </row>
    <row r="831">
      <c r="A831" s="107" t="s">
        <v>773</v>
      </c>
      <c r="B831" s="415" t="str">
        <f>HYPERLINK("http://codeforces.com/contest/476/problem/C","CF476-D2-C")</f>
        <v>CF476-D2-C</v>
      </c>
      <c r="C831" s="185"/>
      <c r="D831" s="185"/>
      <c r="E831" s="185"/>
      <c r="F831" s="185"/>
      <c r="G831" s="185"/>
      <c r="H831" s="186"/>
      <c r="I831" s="81">
        <f t="shared" si="1"/>
        <v>0</v>
      </c>
      <c r="J831" s="86"/>
      <c r="K831" s="80"/>
      <c r="L831" s="120"/>
      <c r="M831" s="418" t="str">
        <f>HYPERLINK("https://www.youtube.com/watch?v=KS9POnQMfmY","Video Solution - Dr Mostafa Saad")</f>
        <v>Video Solution - Dr Mostafa Saad</v>
      </c>
      <c r="N831" s="412" t="s">
        <v>1727</v>
      </c>
      <c r="O831" s="412">
        <v>118.0</v>
      </c>
      <c r="P831" s="412">
        <v>5.0</v>
      </c>
      <c r="Q831" s="21" t="s">
        <v>1237</v>
      </c>
    </row>
    <row r="832">
      <c r="A832" s="107"/>
      <c r="B832" s="415" t="str">
        <f>HYPERLINK("http://codeforces.com/contest/201/problem/B","CF201-D1-B")</f>
        <v>CF201-D1-B</v>
      </c>
      <c r="C832" s="185"/>
      <c r="D832" s="185"/>
      <c r="E832" s="185"/>
      <c r="F832" s="185"/>
      <c r="G832" s="185"/>
      <c r="H832" s="186"/>
      <c r="I832" s="81">
        <f t="shared" si="1"/>
        <v>0</v>
      </c>
      <c r="J832" s="86"/>
      <c r="K832" s="80"/>
      <c r="L832" s="185"/>
      <c r="M832" s="107"/>
      <c r="N832" s="412" t="s">
        <v>1728</v>
      </c>
      <c r="O832" s="412">
        <v>118.0</v>
      </c>
      <c r="P832" s="412">
        <v>5.0</v>
      </c>
      <c r="Q832" s="21" t="s">
        <v>1235</v>
      </c>
    </row>
    <row r="833">
      <c r="A833" s="107" t="s">
        <v>1194</v>
      </c>
      <c r="B833" s="415" t="str">
        <f>HYPERLINK("http://codeforces.com/contest/599/problem/D","CF599-D2-D")</f>
        <v>CF599-D2-D</v>
      </c>
      <c r="C833" s="185"/>
      <c r="D833" s="185"/>
      <c r="E833" s="185"/>
      <c r="F833" s="185"/>
      <c r="G833" s="185"/>
      <c r="H833" s="186"/>
      <c r="I833" s="81">
        <f t="shared" si="1"/>
        <v>0</v>
      </c>
      <c r="J833" s="126"/>
      <c r="K833" s="125"/>
      <c r="L833" s="434"/>
      <c r="M833" s="435"/>
      <c r="N833" s="412" t="s">
        <v>1729</v>
      </c>
      <c r="O833" s="412">
        <v>118.0</v>
      </c>
      <c r="P833" s="412">
        <v>6.0</v>
      </c>
      <c r="Q833" s="21" t="s">
        <v>1235</v>
      </c>
    </row>
    <row r="834">
      <c r="A834" s="107" t="s">
        <v>1175</v>
      </c>
      <c r="B834" s="415" t="str">
        <f>HYPERLINK("http://www.spoj.com/problems/HISTOGRA/","SPOJ HISTOGRA")</f>
        <v>SPOJ HISTOGRA</v>
      </c>
      <c r="C834" s="185"/>
      <c r="D834" s="185"/>
      <c r="E834" s="185"/>
      <c r="F834" s="185"/>
      <c r="G834" s="185"/>
      <c r="H834" s="186"/>
      <c r="I834" s="81">
        <f t="shared" si="1"/>
        <v>0</v>
      </c>
      <c r="J834" s="86"/>
      <c r="K834" s="80"/>
      <c r="L834" s="434"/>
      <c r="M834" s="321" t="str">
        <f>HYPERLINK("https://github.com/mostafa-saad/MyCompetitiveProgramming/blob/master/SPOJ/SPOJ_HISTOGRA.txt","Sol. Don't implement as adhock/greedy/Pure STL. Use a data structure.")</f>
        <v>Sol. Don't implement as adhock/greedy/Pure STL. Use a data structure.</v>
      </c>
      <c r="N834" s="412" t="s">
        <v>1730</v>
      </c>
      <c r="O834" s="412">
        <v>122.0</v>
      </c>
      <c r="P834" s="412">
        <v>4.5</v>
      </c>
      <c r="Q834" s="21" t="s">
        <v>1262</v>
      </c>
    </row>
    <row r="835">
      <c r="A835" s="107" t="s">
        <v>893</v>
      </c>
      <c r="B835" s="415" t="str">
        <f>HYPERLINK("http://codeforces.com/problemset/problem/514/D","CF514-D2-D")</f>
        <v>CF514-D2-D</v>
      </c>
      <c r="C835" s="185"/>
      <c r="D835" s="185"/>
      <c r="E835" s="185"/>
      <c r="F835" s="185"/>
      <c r="G835" s="185"/>
      <c r="H835" s="186"/>
      <c r="I835" s="81">
        <f t="shared" si="1"/>
        <v>0</v>
      </c>
      <c r="J835" s="434"/>
      <c r="K835" s="434"/>
      <c r="L835" s="120"/>
      <c r="M835" s="412" t="s">
        <v>894</v>
      </c>
      <c r="N835" s="412" t="s">
        <v>1731</v>
      </c>
      <c r="O835" s="412">
        <v>122.0</v>
      </c>
      <c r="P835" s="412">
        <v>5.0</v>
      </c>
      <c r="Q835" s="21" t="s">
        <v>1237</v>
      </c>
    </row>
    <row r="836">
      <c r="A836" s="107" t="s">
        <v>1026</v>
      </c>
      <c r="B836" s="415" t="str">
        <f>HYPERLINK("http://codeforces.com/contest/689/problem/D","CF689-D2-D")</f>
        <v>CF689-D2-D</v>
      </c>
      <c r="C836" s="185"/>
      <c r="D836" s="185"/>
      <c r="E836" s="185"/>
      <c r="F836" s="185"/>
      <c r="G836" s="185"/>
      <c r="H836" s="186"/>
      <c r="I836" s="81">
        <f t="shared" si="1"/>
        <v>0</v>
      </c>
      <c r="J836" s="120"/>
      <c r="K836" s="185"/>
      <c r="L836" s="434"/>
      <c r="M836" s="428"/>
      <c r="N836" s="412" t="s">
        <v>1732</v>
      </c>
      <c r="O836" s="412">
        <v>122.0</v>
      </c>
      <c r="P836" s="412">
        <v>5.0</v>
      </c>
      <c r="Q836" s="21" t="s">
        <v>1237</v>
      </c>
    </row>
    <row r="837">
      <c r="A837" s="107" t="s">
        <v>1183</v>
      </c>
      <c r="B837" s="415" t="str">
        <f>HYPERLINK("http://codeforces.com/contest/359/problem/D","CF359-D2-D")</f>
        <v>CF359-D2-D</v>
      </c>
      <c r="C837" s="185"/>
      <c r="D837" s="185"/>
      <c r="E837" s="185"/>
      <c r="F837" s="185"/>
      <c r="G837" s="185"/>
      <c r="H837" s="186"/>
      <c r="I837" s="81">
        <f t="shared" si="1"/>
        <v>0</v>
      </c>
      <c r="J837" s="120"/>
      <c r="K837" s="185"/>
      <c r="L837" s="434"/>
      <c r="M837" s="321" t="str">
        <f>HYPERLINK("https://github.com/osamahatem/CompetitiveProgramming/blob/master/Codeforces/359D.%20Pair%20of%20Numbers.cpp","Sol")</f>
        <v>Sol</v>
      </c>
      <c r="N837" s="412" t="s">
        <v>1733</v>
      </c>
      <c r="O837" s="412">
        <v>122.0</v>
      </c>
      <c r="P837" s="412">
        <v>5.5</v>
      </c>
      <c r="Q837" s="21" t="s">
        <v>1235</v>
      </c>
    </row>
    <row r="838">
      <c r="A838" s="107" t="s">
        <v>1199</v>
      </c>
      <c r="B838" s="415" t="str">
        <f>HYPERLINK("http://codeforces.com/contest/895/problem/C","CF448-D2-C")</f>
        <v>CF448-D2-C</v>
      </c>
      <c r="C838" s="185"/>
      <c r="D838" s="185"/>
      <c r="E838" s="185"/>
      <c r="F838" s="185"/>
      <c r="G838" s="185"/>
      <c r="H838" s="186"/>
      <c r="I838" s="81">
        <f t="shared" si="1"/>
        <v>0</v>
      </c>
      <c r="J838" s="126"/>
      <c r="K838" s="125"/>
      <c r="L838" s="434"/>
      <c r="M838" s="435"/>
      <c r="N838" s="412" t="s">
        <v>1734</v>
      </c>
      <c r="O838" s="412">
        <v>123.0</v>
      </c>
      <c r="P838" s="412">
        <v>4.5</v>
      </c>
    </row>
    <row r="839">
      <c r="A839" s="107" t="s">
        <v>885</v>
      </c>
      <c r="B839" s="415" t="str">
        <f>HYPERLINK("https://icpcarchive.ecs.baylor.edu/index.php?option=com_onlinejudge&amp;Itemid=8&amp;page=show_problem&amp;problem=192","LIVEARCHIVE 2191")</f>
        <v>LIVEARCHIVE 2191</v>
      </c>
      <c r="C839" s="185"/>
      <c r="D839" s="185"/>
      <c r="E839" s="185"/>
      <c r="F839" s="185"/>
      <c r="G839" s="185"/>
      <c r="H839" s="186"/>
      <c r="I839" s="81">
        <f t="shared" si="1"/>
        <v>0</v>
      </c>
      <c r="J839" s="86"/>
      <c r="K839" s="80"/>
      <c r="L839" s="185"/>
      <c r="M839" s="107"/>
      <c r="N839" s="412" t="s">
        <v>1735</v>
      </c>
      <c r="O839" s="412">
        <v>125.0</v>
      </c>
      <c r="P839" s="412">
        <v>2.0</v>
      </c>
      <c r="Q839" s="21" t="s">
        <v>1237</v>
      </c>
    </row>
    <row r="840">
      <c r="A840" s="107" t="s">
        <v>884</v>
      </c>
      <c r="B840" s="415" t="str">
        <f>HYPERLINK("https://uva.onlinejudge.org/index.php?option=com_onlinejudge&amp;Itemid=8&amp;page=show_problem&amp;problem=3977","UVA 12532")</f>
        <v>UVA 12532</v>
      </c>
      <c r="C840" s="185"/>
      <c r="D840" s="185"/>
      <c r="E840" s="185"/>
      <c r="F840" s="185"/>
      <c r="G840" s="185"/>
      <c r="H840" s="186"/>
      <c r="I840" s="81">
        <f t="shared" si="1"/>
        <v>0</v>
      </c>
      <c r="J840" s="86"/>
      <c r="K840" s="80"/>
      <c r="L840" s="185"/>
      <c r="M840" s="107"/>
      <c r="N840" s="412" t="s">
        <v>1736</v>
      </c>
      <c r="O840" s="412">
        <v>125.0</v>
      </c>
      <c r="P840" s="412">
        <v>2.0</v>
      </c>
    </row>
    <row r="841">
      <c r="A841" s="107" t="s">
        <v>886</v>
      </c>
      <c r="B841" s="415" t="str">
        <f>HYPERLINK("http://www.spoj.com/problems/CDC12_H","SPOJ CDC12_H")</f>
        <v>SPOJ CDC12_H</v>
      </c>
      <c r="C841" s="185"/>
      <c r="D841" s="185"/>
      <c r="E841" s="185"/>
      <c r="F841" s="185"/>
      <c r="G841" s="185"/>
      <c r="H841" s="186"/>
      <c r="I841" s="81">
        <f t="shared" si="1"/>
        <v>0</v>
      </c>
      <c r="J841" s="126"/>
      <c r="K841" s="125"/>
      <c r="L841" s="185"/>
      <c r="M841" s="430"/>
      <c r="N841" s="412" t="s">
        <v>1737</v>
      </c>
      <c r="O841" s="412">
        <v>125.0</v>
      </c>
      <c r="P841" s="412">
        <v>3.5</v>
      </c>
    </row>
    <row r="842">
      <c r="A842" s="107" t="s">
        <v>1202</v>
      </c>
      <c r="B842" s="415" t="str">
        <f>HYPERLINK("http://www.spoj.com/problems/MULTQ3/","SPOJ MULTQ3")</f>
        <v>SPOJ MULTQ3</v>
      </c>
      <c r="C842" s="185"/>
      <c r="D842" s="185"/>
      <c r="E842" s="185"/>
      <c r="F842" s="185"/>
      <c r="G842" s="185"/>
      <c r="H842" s="186"/>
      <c r="I842" s="81">
        <f t="shared" si="1"/>
        <v>0</v>
      </c>
      <c r="J842" s="120"/>
      <c r="K842" s="185"/>
      <c r="L842" s="434"/>
      <c r="M842" s="321" t="str">
        <f>HYPERLINK("https://github.com/BRAINOOOO/CompetitiveProgramming/blob/master/Spoj/SPOJ%20MULTQ3.Cpp","Sol")</f>
        <v>Sol</v>
      </c>
      <c r="N842" s="412" t="s">
        <v>1738</v>
      </c>
      <c r="O842" s="412">
        <v>125.0</v>
      </c>
      <c r="P842" s="412">
        <v>4.0</v>
      </c>
      <c r="Q842" s="21" t="s">
        <v>1237</v>
      </c>
    </row>
    <row r="843">
      <c r="A843" s="107" t="s">
        <v>888</v>
      </c>
      <c r="B843" s="415" t="str">
        <f>HYPERLINK("http://www.spoj.com/problems/HORRIBLE","SPOJ HORRIBLE")</f>
        <v>SPOJ HORRIBLE</v>
      </c>
      <c r="C843" s="185"/>
      <c r="D843" s="185"/>
      <c r="E843" s="185"/>
      <c r="F843" s="185"/>
      <c r="G843" s="185"/>
      <c r="H843" s="186"/>
      <c r="I843" s="81">
        <f t="shared" si="1"/>
        <v>0</v>
      </c>
      <c r="J843" s="120"/>
      <c r="K843" s="185"/>
      <c r="L843" s="185"/>
      <c r="M843" s="430"/>
      <c r="N843" s="412" t="s">
        <v>1739</v>
      </c>
      <c r="O843" s="412">
        <v>125.0</v>
      </c>
      <c r="P843" s="412">
        <v>4.0</v>
      </c>
      <c r="Q843" s="21" t="s">
        <v>1231</v>
      </c>
    </row>
    <row r="844">
      <c r="A844" s="107" t="s">
        <v>887</v>
      </c>
      <c r="B844" s="415" t="str">
        <f>HYPERLINK("http://www.spoj.com/problems/CNTPRIME","SPOJ CNTPRIME")</f>
        <v>SPOJ CNTPRIME</v>
      </c>
      <c r="C844" s="185"/>
      <c r="D844" s="185"/>
      <c r="E844" s="185"/>
      <c r="F844" s="185"/>
      <c r="G844" s="185"/>
      <c r="H844" s="186"/>
      <c r="I844" s="81">
        <f t="shared" si="1"/>
        <v>0</v>
      </c>
      <c r="J844" s="126"/>
      <c r="K844" s="125"/>
      <c r="L844" s="185"/>
      <c r="M844" s="430"/>
      <c r="N844" s="412" t="s">
        <v>1740</v>
      </c>
      <c r="O844" s="412">
        <v>125.0</v>
      </c>
      <c r="P844" s="412">
        <v>4.0</v>
      </c>
      <c r="Q844" s="21" t="s">
        <v>1231</v>
      </c>
    </row>
    <row r="845">
      <c r="A845" s="107" t="s">
        <v>899</v>
      </c>
      <c r="B845" s="415" t="str">
        <f>HYPERLINK("http://www.spoj.com/problems/KGSS/","SPOJ KGSS")</f>
        <v>SPOJ KGSS</v>
      </c>
      <c r="C845" s="185"/>
      <c r="D845" s="185"/>
      <c r="E845" s="185"/>
      <c r="F845" s="185"/>
      <c r="G845" s="185"/>
      <c r="H845" s="186"/>
      <c r="I845" s="81">
        <f t="shared" si="1"/>
        <v>0</v>
      </c>
      <c r="J845" s="86"/>
      <c r="K845" s="80"/>
      <c r="L845" s="185"/>
      <c r="M845" s="107"/>
      <c r="N845" s="412" t="s">
        <v>1741</v>
      </c>
      <c r="O845" s="412">
        <v>125.0</v>
      </c>
      <c r="P845" s="412">
        <v>4.5</v>
      </c>
      <c r="Q845" s="21" t="s">
        <v>1237</v>
      </c>
    </row>
    <row r="846">
      <c r="A846" s="107" t="s">
        <v>891</v>
      </c>
      <c r="B846" s="415" t="str">
        <f>HYPERLINK("http://www.spoj.com/problems/CITY2/","SPOJ CITY2")</f>
        <v>SPOJ CITY2</v>
      </c>
      <c r="C846" s="185"/>
      <c r="D846" s="185"/>
      <c r="E846" s="185"/>
      <c r="F846" s="185"/>
      <c r="G846" s="185"/>
      <c r="H846" s="186"/>
      <c r="I846" s="81">
        <f t="shared" si="1"/>
        <v>0</v>
      </c>
      <c r="J846" s="86"/>
      <c r="K846" s="80"/>
      <c r="L846" s="434"/>
      <c r="M846" s="432" t="str">
        <f>HYPERLINK("https://github.com/mostafa-saad/MyCompetitiveProgramming/blob/master/SPOJ/SPOJ_CITY2.txt","Sol")</f>
        <v>Sol</v>
      </c>
      <c r="N846" s="412" t="s">
        <v>1742</v>
      </c>
      <c r="O846" s="412">
        <v>125.0</v>
      </c>
      <c r="P846" s="412">
        <v>4.5</v>
      </c>
      <c r="Q846" s="21" t="s">
        <v>1235</v>
      </c>
    </row>
    <row r="847">
      <c r="A847" s="107" t="s">
        <v>941</v>
      </c>
      <c r="B847" s="415" t="str">
        <f>HYPERLINK("http://www.spoj.com/problems/HELPR2D2","SPOJ HELPR2D2")</f>
        <v>SPOJ HELPR2D2</v>
      </c>
      <c r="C847" s="185"/>
      <c r="D847" s="185"/>
      <c r="E847" s="185"/>
      <c r="F847" s="185"/>
      <c r="G847" s="185"/>
      <c r="H847" s="186"/>
      <c r="I847" s="81">
        <f t="shared" si="1"/>
        <v>0</v>
      </c>
      <c r="J847" s="120"/>
      <c r="K847" s="185"/>
      <c r="L847" s="185"/>
      <c r="M847" s="435"/>
      <c r="N847" s="412" t="s">
        <v>1743</v>
      </c>
      <c r="O847" s="412">
        <v>125.0</v>
      </c>
      <c r="P847" s="412">
        <v>4.5</v>
      </c>
      <c r="Q847" s="21" t="s">
        <v>1235</v>
      </c>
    </row>
    <row r="848">
      <c r="A848" s="107" t="s">
        <v>889</v>
      </c>
      <c r="B848" s="415" t="str">
        <f>HYPERLINK("http://www.spoj.com/problems/LITE/","SPOJ LITE")</f>
        <v>SPOJ LITE</v>
      </c>
      <c r="C848" s="185"/>
      <c r="D848" s="185"/>
      <c r="E848" s="185"/>
      <c r="F848" s="185"/>
      <c r="G848" s="185"/>
      <c r="H848" s="186"/>
      <c r="I848" s="81">
        <f t="shared" si="1"/>
        <v>0</v>
      </c>
      <c r="J848" s="86"/>
      <c r="K848" s="80"/>
      <c r="L848" s="185"/>
      <c r="M848" s="107"/>
      <c r="N848" s="412" t="s">
        <v>1744</v>
      </c>
      <c r="O848" s="412">
        <v>125.0</v>
      </c>
      <c r="P848" s="412">
        <v>4.5</v>
      </c>
      <c r="Q848" s="21" t="s">
        <v>1231</v>
      </c>
    </row>
    <row r="849">
      <c r="A849" s="107" t="s">
        <v>890</v>
      </c>
      <c r="B849" s="415" t="str">
        <f>HYPERLINK("http://codeforces.com/contest/52/problem/C","CF52-D12-C")</f>
        <v>CF52-D12-C</v>
      </c>
      <c r="C849" s="185"/>
      <c r="D849" s="185"/>
      <c r="E849" s="185"/>
      <c r="F849" s="185"/>
      <c r="G849" s="185"/>
      <c r="H849" s="186"/>
      <c r="I849" s="81">
        <f t="shared" si="1"/>
        <v>0</v>
      </c>
      <c r="J849" s="126"/>
      <c r="K849" s="126"/>
      <c r="L849" s="120"/>
      <c r="M849" s="428"/>
      <c r="N849" s="412" t="s">
        <v>1745</v>
      </c>
      <c r="O849" s="412">
        <v>125.0</v>
      </c>
      <c r="P849" s="412">
        <v>4.5</v>
      </c>
    </row>
    <row r="850">
      <c r="A850" s="107" t="s">
        <v>896</v>
      </c>
      <c r="B850" s="415" t="str">
        <f>HYPERLINK("http://www.spoj.com/problems/BRCKTS","SPOJ BRCKTS")</f>
        <v>SPOJ BRCKTS</v>
      </c>
      <c r="C850" s="185"/>
      <c r="D850" s="185"/>
      <c r="E850" s="185"/>
      <c r="F850" s="185"/>
      <c r="G850" s="185"/>
      <c r="H850" s="186"/>
      <c r="I850" s="81">
        <f t="shared" si="1"/>
        <v>0</v>
      </c>
      <c r="J850" s="126"/>
      <c r="K850" s="126"/>
      <c r="L850" s="120"/>
      <c r="M850" s="432" t="str">
        <f>HYPERLINK("https://github.com/AliOsm/CompetitiveProgramming/blob/master/SPOJ/BRCKTS%20-%20Brackets.cpp","Sol")</f>
        <v>Sol</v>
      </c>
      <c r="N850" s="412" t="s">
        <v>1746</v>
      </c>
      <c r="O850" s="412">
        <v>125.0</v>
      </c>
      <c r="P850" s="412">
        <v>5.0</v>
      </c>
      <c r="Q850" s="21" t="s">
        <v>1237</v>
      </c>
    </row>
    <row r="851">
      <c r="A851" s="107" t="s">
        <v>918</v>
      </c>
      <c r="B851" s="415" t="str">
        <f>HYPERLINK("http://www.spoj.com/problems/GSS1/","SPOJ GSS1")</f>
        <v>SPOJ GSS1</v>
      </c>
      <c r="C851" s="185"/>
      <c r="D851" s="185"/>
      <c r="E851" s="185"/>
      <c r="F851" s="185"/>
      <c r="G851" s="185"/>
      <c r="H851" s="186"/>
      <c r="I851" s="81">
        <f t="shared" si="1"/>
        <v>0</v>
      </c>
      <c r="J851" s="126"/>
      <c r="K851" s="125"/>
      <c r="L851" s="445"/>
      <c r="M851" s="321" t="str">
        <f>HYPERLINK("https://github.com/AliOsm/CompetitiveProgramming/blob/master/SPOJ/GSS1%20-%20Can%20you%20answer%20these%20queries%20I.cpp","Sol")</f>
        <v>Sol</v>
      </c>
      <c r="N851" s="412" t="s">
        <v>1747</v>
      </c>
      <c r="O851" s="412">
        <v>125.0</v>
      </c>
      <c r="P851" s="412">
        <v>5.0</v>
      </c>
      <c r="Q851" s="21" t="s">
        <v>1237</v>
      </c>
    </row>
    <row r="852">
      <c r="A852" s="107" t="s">
        <v>892</v>
      </c>
      <c r="B852" s="415" t="str">
        <f>HYPERLINK("https://uva.onlinejudge.org/index.php?option=com_onlinejudge&amp;Itemid=8&amp;page=show_problem&amp;problem=3720","UVA 12299")</f>
        <v>UVA 12299</v>
      </c>
      <c r="C852" s="185"/>
      <c r="D852" s="185"/>
      <c r="E852" s="185"/>
      <c r="F852" s="185"/>
      <c r="G852" s="185"/>
      <c r="H852" s="186"/>
      <c r="I852" s="81">
        <f t="shared" si="1"/>
        <v>0</v>
      </c>
      <c r="J852" s="86"/>
      <c r="K852" s="80"/>
      <c r="L852" s="434"/>
      <c r="M852" s="432" t="str">
        <f>HYPERLINK("https://github.com/Emsawy/CompetitiveProgramming/blob/master/UVA/12299.cpp","See sscanf and sprintf usage")</f>
        <v>See sscanf and sprintf usage</v>
      </c>
      <c r="N852" s="412" t="s">
        <v>1748</v>
      </c>
      <c r="O852" s="412">
        <v>125.0</v>
      </c>
      <c r="P852" s="412">
        <v>5.0</v>
      </c>
      <c r="Q852" s="21" t="s">
        <v>1237</v>
      </c>
    </row>
    <row r="853">
      <c r="A853" s="107" t="s">
        <v>1153</v>
      </c>
      <c r="B853" s="415" t="str">
        <f>HYPERLINK("http://www.spoj.com/problems/ANDROUND","SPOJ ANDROUND")</f>
        <v>SPOJ ANDROUND</v>
      </c>
      <c r="C853" s="185"/>
      <c r="D853" s="185"/>
      <c r="E853" s="185"/>
      <c r="F853" s="185"/>
      <c r="G853" s="185"/>
      <c r="H853" s="186"/>
      <c r="I853" s="81">
        <f t="shared" si="1"/>
        <v>0</v>
      </c>
      <c r="J853" s="86"/>
      <c r="K853" s="80"/>
      <c r="L853" s="434"/>
      <c r="M853" s="321" t="str">
        <f>HYPERLINK("https://github.com/AliOsm/CompetitiveProgramming/blob/master/SPOJ/ANDROUND%20-%20AND%20Rounds.cpp","Sol")</f>
        <v>Sol</v>
      </c>
      <c r="N853" s="412" t="s">
        <v>1737</v>
      </c>
      <c r="O853" s="412">
        <v>125.0</v>
      </c>
      <c r="P853" s="412">
        <v>5.0</v>
      </c>
      <c r="Q853" s="21" t="s">
        <v>1235</v>
      </c>
    </row>
    <row r="854">
      <c r="A854" s="107" t="s">
        <v>895</v>
      </c>
      <c r="B854" s="415" t="str">
        <f>HYPERLINK("https://uva.onlinejudge.org/index.php?option=com_onlinejudge&amp;Itemid=8&amp;page=show_problem&amp;problem=2397","UVA 11402")</f>
        <v>UVA 11402</v>
      </c>
      <c r="C854" s="185"/>
      <c r="D854" s="185"/>
      <c r="E854" s="185"/>
      <c r="F854" s="185"/>
      <c r="G854" s="185"/>
      <c r="H854" s="186"/>
      <c r="I854" s="81">
        <f t="shared" si="1"/>
        <v>0</v>
      </c>
      <c r="J854" s="126"/>
      <c r="K854" s="126"/>
      <c r="L854" s="120"/>
      <c r="M854" s="432" t="str">
        <f>HYPERLINK("https://github.com/hosamk92/CompetitiveProgramming/blob/master/UVA/UVA%2011402.cpp","Sol")</f>
        <v>Sol</v>
      </c>
      <c r="N854" s="412" t="s">
        <v>1749</v>
      </c>
      <c r="O854" s="412">
        <v>125.0</v>
      </c>
      <c r="P854" s="412">
        <v>5.0</v>
      </c>
      <c r="Q854" s="21" t="s">
        <v>1235</v>
      </c>
    </row>
    <row r="855">
      <c r="A855" s="107" t="s">
        <v>897</v>
      </c>
      <c r="B855" s="415" t="str">
        <f>HYPERLINK("http://codeforces.com/contest/460/problem/C","CF460-D2-C")</f>
        <v>CF460-D2-C</v>
      </c>
      <c r="C855" s="185"/>
      <c r="D855" s="185"/>
      <c r="E855" s="185"/>
      <c r="F855" s="185"/>
      <c r="G855" s="185"/>
      <c r="H855" s="186"/>
      <c r="I855" s="81">
        <f t="shared" si="1"/>
        <v>0</v>
      </c>
      <c r="J855" s="126"/>
      <c r="K855" s="126"/>
      <c r="L855" s="120"/>
      <c r="M855" s="428"/>
      <c r="N855" s="412" t="s">
        <v>1750</v>
      </c>
      <c r="O855" s="412">
        <v>125.0</v>
      </c>
      <c r="P855" s="412">
        <v>5.0</v>
      </c>
      <c r="Q855" s="21" t="s">
        <v>1235</v>
      </c>
    </row>
    <row r="856">
      <c r="A856" s="107" t="s">
        <v>1085</v>
      </c>
      <c r="B856" s="415" t="str">
        <f>HYPERLINK("http://poj.org/problem?id=2374","PKU 2374")</f>
        <v>PKU 2374</v>
      </c>
      <c r="C856" s="185"/>
      <c r="D856" s="185"/>
      <c r="E856" s="185"/>
      <c r="F856" s="185"/>
      <c r="G856" s="185"/>
      <c r="H856" s="186"/>
      <c r="I856" s="81">
        <f t="shared" si="1"/>
        <v>0</v>
      </c>
      <c r="J856" s="126"/>
      <c r="K856" s="125"/>
      <c r="L856" s="434"/>
      <c r="M856" s="432" t="str">
        <f>HYPERLINK("https://github.com/mostafa-saad/MyCompetitiveProgramming/blob/master/PKU/PKU_2374.txt","Sol")</f>
        <v>Sol</v>
      </c>
      <c r="N856" s="412" t="s">
        <v>1751</v>
      </c>
      <c r="O856" s="412">
        <v>125.0</v>
      </c>
      <c r="P856" s="412">
        <v>5.0</v>
      </c>
      <c r="Q856" s="21" t="s">
        <v>1231</v>
      </c>
    </row>
    <row r="857">
      <c r="A857" s="107"/>
      <c r="B857" s="415" t="str">
        <f>HYPERLINK("https://codeforces.com/problemset/problem/61/E","CF61-D2-E")</f>
        <v>CF61-D2-E</v>
      </c>
      <c r="C857" s="185"/>
      <c r="D857" s="185"/>
      <c r="E857" s="185"/>
      <c r="F857" s="185"/>
      <c r="G857" s="185"/>
      <c r="H857" s="186"/>
      <c r="I857" s="81">
        <f t="shared" si="1"/>
        <v>0</v>
      </c>
      <c r="J857" s="86"/>
      <c r="K857" s="80"/>
      <c r="L857" s="185"/>
      <c r="M857" s="450"/>
      <c r="N857" s="412" t="s">
        <v>1752</v>
      </c>
      <c r="O857" s="412">
        <v>125.0</v>
      </c>
      <c r="P857" s="412">
        <v>5.0</v>
      </c>
      <c r="Q857" s="21" t="s">
        <v>1231</v>
      </c>
    </row>
    <row r="858">
      <c r="A858" s="107" t="s">
        <v>919</v>
      </c>
      <c r="B858" s="415" t="str">
        <f>HYPERLINK("http://www.spoj.com/problems/GSS3/","SPOJ GSS3")</f>
        <v>SPOJ GSS3</v>
      </c>
      <c r="C858" s="185"/>
      <c r="D858" s="185"/>
      <c r="E858" s="185"/>
      <c r="F858" s="185"/>
      <c r="G858" s="185"/>
      <c r="H858" s="186"/>
      <c r="I858" s="81">
        <f t="shared" si="1"/>
        <v>0</v>
      </c>
      <c r="J858" s="126"/>
      <c r="K858" s="125"/>
      <c r="L858" s="185"/>
      <c r="M858" s="435"/>
      <c r="N858" s="412" t="s">
        <v>1753</v>
      </c>
      <c r="O858" s="412">
        <v>125.0</v>
      </c>
      <c r="P858" s="412">
        <v>5.5</v>
      </c>
      <c r="Q858" s="21" t="s">
        <v>1240</v>
      </c>
    </row>
    <row r="859">
      <c r="A859" s="107" t="s">
        <v>1027</v>
      </c>
      <c r="B859" s="415" t="str">
        <f>HYPERLINK("http://www.spoj.com/problems/SEGSQRSS","SPOJ SEGSQRSS")</f>
        <v>SPOJ SEGSQRSS</v>
      </c>
      <c r="C859" s="185"/>
      <c r="D859" s="185"/>
      <c r="E859" s="185"/>
      <c r="F859" s="185"/>
      <c r="G859" s="185"/>
      <c r="H859" s="186"/>
      <c r="I859" s="81">
        <f t="shared" si="1"/>
        <v>0</v>
      </c>
      <c r="J859" s="86"/>
      <c r="K859" s="80"/>
      <c r="L859" s="434"/>
      <c r="M859" s="432" t="str">
        <f>HYPERLINK("https://github.com/MichaelMounir12/CompetitiveProgramming/blob/9c6e99fc3a2583209a313ddd617a07ac294024e9/SPOJ/SPOJ_SEGSQRSS.cpp","Sol")</f>
        <v>Sol</v>
      </c>
      <c r="N859" s="412" t="s">
        <v>1754</v>
      </c>
      <c r="O859" s="412">
        <v>125.0</v>
      </c>
      <c r="P859" s="412">
        <v>5.5</v>
      </c>
      <c r="Q859" s="21" t="s">
        <v>1262</v>
      </c>
    </row>
    <row r="860">
      <c r="A860" s="107"/>
      <c r="B860" s="415" t="str">
        <f>HYPERLINK("http://codeforces.com/contest/380/problem/C","CF380-D1-C")</f>
        <v>CF380-D1-C</v>
      </c>
      <c r="C860" s="185"/>
      <c r="D860" s="185"/>
      <c r="E860" s="185"/>
      <c r="F860" s="185"/>
      <c r="G860" s="185"/>
      <c r="H860" s="186"/>
      <c r="I860" s="81">
        <f t="shared" si="1"/>
        <v>0</v>
      </c>
      <c r="J860" s="86"/>
      <c r="K860" s="80"/>
      <c r="L860" s="185"/>
      <c r="M860" s="107"/>
      <c r="N860" s="412" t="s">
        <v>1755</v>
      </c>
      <c r="O860" s="412">
        <v>125.0</v>
      </c>
      <c r="P860" s="412">
        <v>5.5</v>
      </c>
      <c r="Q860" s="21" t="s">
        <v>1237</v>
      </c>
    </row>
    <row r="861">
      <c r="A861" s="107" t="s">
        <v>1207</v>
      </c>
      <c r="B861" s="415" t="str">
        <f>HYPERLINK("http://www.spoj.com/problems/GSS4","SPOJ GSS4")</f>
        <v>SPOJ GSS4</v>
      </c>
      <c r="C861" s="185"/>
      <c r="D861" s="185"/>
      <c r="E861" s="185"/>
      <c r="F861" s="185"/>
      <c r="G861" s="185"/>
      <c r="H861" s="186"/>
      <c r="I861" s="81">
        <f t="shared" si="1"/>
        <v>0</v>
      </c>
      <c r="J861" s="86"/>
      <c r="K861" s="80"/>
      <c r="L861" s="434"/>
      <c r="M861" s="432" t="str">
        <f>HYPERLINK("https://github.com/abdullaAshraf/Problem-Solving/blob/master/SPOJ/GSS4.cpp","Sol")</f>
        <v>Sol</v>
      </c>
      <c r="N861" s="412" t="s">
        <v>1756</v>
      </c>
      <c r="O861" s="412">
        <v>125.0</v>
      </c>
      <c r="P861" s="412">
        <v>5.5</v>
      </c>
      <c r="Q861" s="21" t="s">
        <v>1235</v>
      </c>
    </row>
    <row r="862">
      <c r="A862" s="107" t="s">
        <v>1009</v>
      </c>
      <c r="B862" s="415" t="str">
        <f>HYPERLINK("https://uva.onlinejudge.org/index.php?option=com_onlinejudge&amp;Itemid=8&amp;page=show_problem&amp;problem=3673","UVA 1232")</f>
        <v>UVA 1232</v>
      </c>
      <c r="C862" s="185"/>
      <c r="D862" s="185"/>
      <c r="E862" s="185"/>
      <c r="F862" s="185"/>
      <c r="G862" s="185"/>
      <c r="H862" s="186"/>
      <c r="I862" s="81">
        <f t="shared" si="1"/>
        <v>0</v>
      </c>
      <c r="J862" s="126"/>
      <c r="K862" s="125"/>
      <c r="L862" s="434"/>
      <c r="M862" s="432" t="str">
        <f>HYPERLINK("https://github.com/mostafa-saad/MyCompetitiveProgramming/blob/master/UVA/UVA_1232.txt","Sol")</f>
        <v>Sol</v>
      </c>
      <c r="N862" s="412" t="s">
        <v>1757</v>
      </c>
      <c r="O862" s="412">
        <v>125.0</v>
      </c>
      <c r="P862" s="412">
        <v>5.5</v>
      </c>
    </row>
    <row r="863">
      <c r="A863" s="107" t="s">
        <v>1010</v>
      </c>
      <c r="B863" s="415" t="str">
        <f>HYPERLINK("http://www.spoj.com/problems/ORDERS/","SPOJ ORDERS")</f>
        <v>SPOJ ORDERS</v>
      </c>
      <c r="C863" s="185"/>
      <c r="D863" s="185"/>
      <c r="E863" s="185"/>
      <c r="F863" s="185"/>
      <c r="G863" s="185"/>
      <c r="H863" s="186"/>
      <c r="I863" s="81">
        <f t="shared" si="1"/>
        <v>0</v>
      </c>
      <c r="J863" s="126"/>
      <c r="K863" s="125"/>
      <c r="L863" s="434"/>
      <c r="M863" s="432" t="str">
        <f>HYPERLINK("https://github.com/mostafa-saad/MyCompetitiveProgramming/blob/master/SPOJ/SPOJ_ORDERS.txt","Sol")</f>
        <v>Sol</v>
      </c>
      <c r="N863" s="412" t="s">
        <v>1758</v>
      </c>
      <c r="O863" s="412">
        <v>125.0</v>
      </c>
      <c r="P863" s="412">
        <v>5.75</v>
      </c>
      <c r="Q863" s="21" t="s">
        <v>1237</v>
      </c>
    </row>
    <row r="864">
      <c r="A864" s="107"/>
      <c r="B864" s="107" t="s">
        <v>1189</v>
      </c>
      <c r="C864" s="185"/>
      <c r="D864" s="185"/>
      <c r="E864" s="185"/>
      <c r="F864" s="185"/>
      <c r="G864" s="185"/>
      <c r="H864" s="186"/>
      <c r="I864" s="81">
        <f t="shared" si="1"/>
        <v>0</v>
      </c>
      <c r="J864" s="120"/>
      <c r="K864" s="185"/>
      <c r="L864" s="185"/>
      <c r="M864" s="321" t="str">
        <f>HYPERLINK("https://github.com/mostafa-saad/MyCompetitiveProgramming/blob/master/SPOJ/SPOJ_IOPC1207.txt","Sol")</f>
        <v>Sol</v>
      </c>
      <c r="N864" s="412" t="s">
        <v>1759</v>
      </c>
      <c r="O864" s="412">
        <v>125.0</v>
      </c>
      <c r="P864" s="412">
        <v>6.0</v>
      </c>
      <c r="Q864" s="21" t="s">
        <v>1237</v>
      </c>
    </row>
    <row r="865">
      <c r="A865" s="107"/>
      <c r="B865" s="107" t="s">
        <v>1016</v>
      </c>
      <c r="C865" s="185"/>
      <c r="D865" s="185"/>
      <c r="E865" s="185"/>
      <c r="F865" s="185"/>
      <c r="G865" s="185"/>
      <c r="H865" s="186"/>
      <c r="I865" s="81">
        <f t="shared" si="1"/>
        <v>0</v>
      </c>
      <c r="J865" s="86"/>
      <c r="K865" s="80"/>
      <c r="L865" s="185"/>
      <c r="M865" s="321" t="str">
        <f>HYPERLINK("https://github.com/MedoN11/CompetitiveProgramming/blob/master/SPOJ/BRCKTS2.cpp","Sol")</f>
        <v>Sol</v>
      </c>
      <c r="N865" s="412" t="s">
        <v>1760</v>
      </c>
      <c r="O865" s="412">
        <v>125.0</v>
      </c>
      <c r="P865" s="412">
        <v>6.0</v>
      </c>
      <c r="Q865" s="21" t="s">
        <v>1237</v>
      </c>
    </row>
    <row r="866">
      <c r="A866" s="107" t="s">
        <v>421</v>
      </c>
      <c r="B866" s="107" t="s">
        <v>422</v>
      </c>
      <c r="C866" s="185"/>
      <c r="D866" s="185"/>
      <c r="E866" s="185"/>
      <c r="F866" s="185"/>
      <c r="G866" s="185"/>
      <c r="H866" s="186"/>
      <c r="I866" s="81">
        <f t="shared" si="1"/>
        <v>0</v>
      </c>
      <c r="J866" s="86"/>
      <c r="K866" s="80"/>
      <c r="L866" s="185"/>
      <c r="M866" s="418" t="str">
        <f>HYPERLINK("http://xoptutorials.com/index.php/2017/01/01/timus1638/","Can you get AC first submission")</f>
        <v>Can you get AC first submission</v>
      </c>
      <c r="N866" s="412" t="s">
        <v>1761</v>
      </c>
      <c r="O866" s="412">
        <v>126.0</v>
      </c>
      <c r="P866" s="412">
        <v>2.0</v>
      </c>
      <c r="Q866" s="21" t="s">
        <v>1235</v>
      </c>
    </row>
    <row r="867">
      <c r="A867" s="107" t="s">
        <v>405</v>
      </c>
      <c r="B867" s="415" t="str">
        <f>HYPERLINK("http://acm.timus.ru/problem.aspx?space=1&amp;num=1607","TIMUS 1607")</f>
        <v>TIMUS 1607</v>
      </c>
      <c r="C867" s="185"/>
      <c r="D867" s="185"/>
      <c r="E867" s="185"/>
      <c r="F867" s="185"/>
      <c r="G867" s="185"/>
      <c r="H867" s="186"/>
      <c r="I867" s="81">
        <f t="shared" si="1"/>
        <v>0</v>
      </c>
      <c r="J867" s="86"/>
      <c r="K867" s="80"/>
      <c r="L867" s="86"/>
      <c r="M867" s="101" t="str">
        <f>HYPERLINK("http://xoptutorials.com/index.php/2017/01/01/timus1607/","Can you get AC first submission?")</f>
        <v>Can you get AC first submission?</v>
      </c>
      <c r="N867" s="412" t="s">
        <v>1762</v>
      </c>
      <c r="O867" s="412">
        <v>126.0</v>
      </c>
      <c r="P867" s="412">
        <v>2.0</v>
      </c>
      <c r="Q867" s="21" t="s">
        <v>1231</v>
      </c>
    </row>
    <row r="868">
      <c r="A868" s="107" t="s">
        <v>624</v>
      </c>
      <c r="B868" s="415" t="str">
        <f>HYPERLINK("https://uva.onlinejudge.org/index.php?option=com_onlinejudge&amp;Itemid=8&amp;page=show_problem&amp;problem=37","UVA 101")</f>
        <v>UVA 101</v>
      </c>
      <c r="C868" s="185"/>
      <c r="D868" s="185"/>
      <c r="E868" s="185"/>
      <c r="F868" s="185"/>
      <c r="G868" s="185"/>
      <c r="H868" s="186"/>
      <c r="I868" s="81">
        <f t="shared" si="1"/>
        <v>0</v>
      </c>
      <c r="J868" s="86"/>
      <c r="K868" s="80"/>
      <c r="L868" s="185"/>
      <c r="M868" s="253" t="s">
        <v>625</v>
      </c>
      <c r="N868" s="412" t="s">
        <v>1763</v>
      </c>
      <c r="O868" s="412">
        <v>126.0</v>
      </c>
      <c r="P868" s="412">
        <v>3.0</v>
      </c>
    </row>
    <row r="869">
      <c r="A869" s="107" t="s">
        <v>981</v>
      </c>
      <c r="B869" s="415" t="str">
        <f>HYPERLINK("http://poj.org/problem?id=3461","PKU 3461")</f>
        <v>PKU 3461</v>
      </c>
      <c r="C869" s="185"/>
      <c r="D869" s="185"/>
      <c r="E869" s="185"/>
      <c r="F869" s="185"/>
      <c r="G869" s="185"/>
      <c r="H869" s="186"/>
      <c r="I869" s="81">
        <f t="shared" si="1"/>
        <v>0</v>
      </c>
      <c r="J869" s="86"/>
      <c r="K869" s="80"/>
      <c r="L869" s="185"/>
      <c r="M869" s="107"/>
      <c r="N869" s="412" t="s">
        <v>1764</v>
      </c>
      <c r="O869" s="412">
        <v>130.0</v>
      </c>
      <c r="P869" s="412">
        <v>2.0</v>
      </c>
    </row>
    <row r="870">
      <c r="A870" s="107" t="s">
        <v>982</v>
      </c>
      <c r="B870" s="415" t="str">
        <f>HYPERLINK("http://www.spoj.com/problems/NHAY","SPOJ NHAY")</f>
        <v>SPOJ NHAY</v>
      </c>
      <c r="C870" s="185"/>
      <c r="D870" s="185"/>
      <c r="E870" s="185"/>
      <c r="F870" s="185"/>
      <c r="G870" s="185"/>
      <c r="H870" s="186"/>
      <c r="I870" s="81">
        <f t="shared" si="1"/>
        <v>0</v>
      </c>
      <c r="J870" s="86"/>
      <c r="K870" s="80"/>
      <c r="L870" s="185"/>
      <c r="M870" s="107"/>
      <c r="N870" s="412" t="s">
        <v>1765</v>
      </c>
      <c r="O870" s="412">
        <v>130.0</v>
      </c>
      <c r="P870" s="412">
        <v>3.0</v>
      </c>
    </row>
    <row r="871">
      <c r="A871" s="107" t="s">
        <v>983</v>
      </c>
      <c r="B871" s="415" t="str">
        <f>HYPERLINK("http://www.spoj.com/problems/TESSER/","SPOJ TESSER")</f>
        <v>SPOJ TESSER</v>
      </c>
      <c r="C871" s="185"/>
      <c r="D871" s="185"/>
      <c r="E871" s="185"/>
      <c r="F871" s="185"/>
      <c r="G871" s="185"/>
      <c r="H871" s="186"/>
      <c r="I871" s="81">
        <f t="shared" si="1"/>
        <v>0</v>
      </c>
      <c r="J871" s="86"/>
      <c r="K871" s="80"/>
      <c r="L871" s="185"/>
      <c r="M871" s="107"/>
      <c r="N871" s="412" t="s">
        <v>1766</v>
      </c>
      <c r="O871" s="412">
        <v>130.0</v>
      </c>
      <c r="P871" s="412">
        <v>4.0</v>
      </c>
      <c r="Q871" s="21" t="s">
        <v>1262</v>
      </c>
    </row>
    <row r="872">
      <c r="A872" s="107" t="s">
        <v>984</v>
      </c>
      <c r="B872" s="415" t="str">
        <f>HYPERLINK("http://www.spoj.com/problems/PERIOD/","SPOJ PERIOD")</f>
        <v>SPOJ PERIOD</v>
      </c>
      <c r="C872" s="185"/>
      <c r="D872" s="185"/>
      <c r="E872" s="185"/>
      <c r="F872" s="185"/>
      <c r="G872" s="185"/>
      <c r="H872" s="186"/>
      <c r="I872" s="81">
        <f t="shared" si="1"/>
        <v>0</v>
      </c>
      <c r="J872" s="86"/>
      <c r="K872" s="80"/>
      <c r="L872" s="434"/>
      <c r="M872" s="107"/>
      <c r="N872" s="412" t="s">
        <v>1767</v>
      </c>
      <c r="O872" s="412">
        <v>130.0</v>
      </c>
      <c r="P872" s="412">
        <v>4.5</v>
      </c>
      <c r="Q872" s="21" t="s">
        <v>1237</v>
      </c>
    </row>
    <row r="873">
      <c r="A873" s="107" t="s">
        <v>985</v>
      </c>
      <c r="B873" s="415" t="str">
        <f>HYPERLINK("http://codeforces.com/contest/432/problem/D","CF432-D2-D")</f>
        <v>CF432-D2-D</v>
      </c>
      <c r="C873" s="185"/>
      <c r="D873" s="185"/>
      <c r="E873" s="185"/>
      <c r="F873" s="185"/>
      <c r="G873" s="185"/>
      <c r="H873" s="186"/>
      <c r="I873" s="81">
        <f t="shared" si="1"/>
        <v>0</v>
      </c>
      <c r="J873" s="86"/>
      <c r="K873" s="80"/>
      <c r="L873" s="185"/>
      <c r="M873" s="107"/>
      <c r="N873" s="412" t="s">
        <v>1768</v>
      </c>
      <c r="O873" s="412">
        <v>130.0</v>
      </c>
      <c r="P873" s="412">
        <v>5.0</v>
      </c>
      <c r="Q873" s="21" t="s">
        <v>1237</v>
      </c>
    </row>
    <row r="874">
      <c r="A874" s="107" t="s">
        <v>986</v>
      </c>
      <c r="B874" s="415" t="str">
        <f>HYPERLINK("http://codeforces.com/contest/535/problem/D","CF535-D2-D")</f>
        <v>CF535-D2-D</v>
      </c>
      <c r="C874" s="185"/>
      <c r="D874" s="185"/>
      <c r="E874" s="185"/>
      <c r="F874" s="185"/>
      <c r="G874" s="185"/>
      <c r="H874" s="186"/>
      <c r="I874" s="81">
        <f t="shared" si="1"/>
        <v>0</v>
      </c>
      <c r="J874" s="86"/>
      <c r="K874" s="80"/>
      <c r="L874" s="185"/>
      <c r="M874" s="107"/>
      <c r="N874" s="412" t="s">
        <v>1769</v>
      </c>
      <c r="O874" s="412">
        <v>130.0</v>
      </c>
      <c r="P874" s="412">
        <v>5.0</v>
      </c>
      <c r="Q874" s="21" t="s">
        <v>1237</v>
      </c>
    </row>
    <row r="875">
      <c r="A875" s="107"/>
      <c r="B875" s="415" t="str">
        <f>HYPERLINK("https://codeforces.com/contest/1147/problem/B" , "CF1147-D1-B")</f>
        <v>CF1147-D1-B</v>
      </c>
      <c r="C875" s="185"/>
      <c r="D875" s="185"/>
      <c r="E875" s="185"/>
      <c r="F875" s="185"/>
      <c r="G875" s="185"/>
      <c r="H875" s="186"/>
      <c r="I875" s="81">
        <f t="shared" si="1"/>
        <v>0</v>
      </c>
      <c r="J875" s="126"/>
      <c r="K875" s="125"/>
      <c r="L875" s="185"/>
      <c r="M875" s="430"/>
      <c r="N875" s="412" t="s">
        <v>1766</v>
      </c>
      <c r="O875" s="412">
        <v>130.0</v>
      </c>
      <c r="P875" s="412">
        <v>5.25</v>
      </c>
      <c r="Q875" s="21" t="s">
        <v>1235</v>
      </c>
    </row>
    <row r="876">
      <c r="A876" s="107" t="s">
        <v>1211</v>
      </c>
      <c r="B876" s="415" t="str">
        <f>HYPERLINK("http://codeforces.com/contest/631/problem/D","CF631-D2-D")</f>
        <v>CF631-D2-D</v>
      </c>
      <c r="C876" s="185"/>
      <c r="D876" s="185"/>
      <c r="E876" s="185"/>
      <c r="F876" s="185"/>
      <c r="G876" s="185"/>
      <c r="H876" s="186"/>
      <c r="I876" s="81">
        <f t="shared" si="1"/>
        <v>0</v>
      </c>
      <c r="J876" s="126"/>
      <c r="K876" s="125"/>
      <c r="L876" s="185"/>
      <c r="M876" s="430"/>
      <c r="N876" s="412" t="s">
        <v>1766</v>
      </c>
      <c r="O876" s="412">
        <v>130.0</v>
      </c>
      <c r="P876" s="412">
        <v>5.5</v>
      </c>
      <c r="Q876" s="21" t="s">
        <v>1237</v>
      </c>
    </row>
    <row r="877">
      <c r="A877" s="107"/>
      <c r="B877" s="415" t="str">
        <f>HYPERLINK("https://codeforces.com/contest/1138/problem/D","CF1138-D2-D")</f>
        <v>CF1138-D2-D</v>
      </c>
      <c r="C877" s="185"/>
      <c r="D877" s="185"/>
      <c r="E877" s="185"/>
      <c r="F877" s="185"/>
      <c r="G877" s="185"/>
      <c r="H877" s="186"/>
      <c r="I877" s="81">
        <f t="shared" si="1"/>
        <v>0</v>
      </c>
      <c r="J877" s="126"/>
      <c r="K877" s="125"/>
      <c r="L877" s="185"/>
      <c r="M877" s="430"/>
      <c r="N877" s="412" t="s">
        <v>1766</v>
      </c>
      <c r="O877" s="412">
        <v>130.0</v>
      </c>
      <c r="P877" s="412">
        <v>5.5</v>
      </c>
      <c r="Q877" s="21" t="s">
        <v>1235</v>
      </c>
    </row>
    <row r="878">
      <c r="A878" s="107"/>
      <c r="B878" s="415" t="str">
        <f>HYPERLINK("https://www.facebook.com/hackercup/problem/1153996538071503/", "FbHkrCup 18-RQ-C")</f>
        <v>FbHkrCup 18-RQ-C</v>
      </c>
      <c r="C878" s="185"/>
      <c r="D878" s="185"/>
      <c r="E878" s="185"/>
      <c r="F878" s="185"/>
      <c r="G878" s="185"/>
      <c r="H878" s="186"/>
      <c r="I878" s="81">
        <f t="shared" si="1"/>
        <v>0</v>
      </c>
      <c r="J878" s="126"/>
      <c r="K878" s="125"/>
      <c r="L878" s="185"/>
      <c r="M878" s="430"/>
      <c r="N878" s="412" t="s">
        <v>1766</v>
      </c>
      <c r="O878" s="412">
        <v>130.0</v>
      </c>
      <c r="P878" s="412">
        <v>5.5</v>
      </c>
      <c r="Q878" s="21" t="s">
        <v>1231</v>
      </c>
    </row>
    <row r="879">
      <c r="A879" s="107"/>
      <c r="B879" s="107" t="s">
        <v>1133</v>
      </c>
      <c r="C879" s="185"/>
      <c r="D879" s="185"/>
      <c r="E879" s="185"/>
      <c r="F879" s="185"/>
      <c r="G879" s="185"/>
      <c r="H879" s="186"/>
      <c r="I879" s="81">
        <f t="shared" si="1"/>
        <v>0</v>
      </c>
      <c r="J879" s="126"/>
      <c r="K879" s="125"/>
      <c r="L879" s="185"/>
      <c r="M879" s="429" t="str">
        <f>HYPERLINK("https://github.com/Huvok/CompetitiveProgramming/blob/master/UVA/11475.cpp", "Sol")</f>
        <v>Sol</v>
      </c>
      <c r="N879" s="412" t="s">
        <v>1766</v>
      </c>
      <c r="O879" s="412">
        <v>130.0</v>
      </c>
      <c r="P879" s="412">
        <v>5.5</v>
      </c>
      <c r="Q879" s="21"/>
    </row>
    <row r="880">
      <c r="A880" s="107" t="s">
        <v>968</v>
      </c>
      <c r="B880" s="415" t="str">
        <f>HYPERLINK("http://www.spoj.com/problems/PHONELST/","SPOJ PHONELST")</f>
        <v>SPOJ PHONELST</v>
      </c>
      <c r="C880" s="185"/>
      <c r="D880" s="185"/>
      <c r="E880" s="185"/>
      <c r="F880" s="185"/>
      <c r="G880" s="185"/>
      <c r="H880" s="186"/>
      <c r="I880" s="81">
        <f t="shared" si="1"/>
        <v>0</v>
      </c>
      <c r="J880" s="126"/>
      <c r="K880" s="125"/>
      <c r="L880" s="185"/>
      <c r="M880" s="430"/>
      <c r="N880" s="412" t="s">
        <v>1770</v>
      </c>
      <c r="O880" s="412">
        <v>135.0</v>
      </c>
      <c r="P880" s="412">
        <v>3.5</v>
      </c>
    </row>
    <row r="881">
      <c r="A881" s="107" t="s">
        <v>969</v>
      </c>
      <c r="B881" s="415" t="str">
        <f>HYPERLINK("https://uva.onlinejudge.org/index.php?option=com_onlinejudge&amp;Itemid=8&amp;page=show_problem&amp;problem=3971","UVA 12526")</f>
        <v>UVA 12526</v>
      </c>
      <c r="C881" s="185"/>
      <c r="D881" s="185"/>
      <c r="E881" s="185"/>
      <c r="F881" s="185"/>
      <c r="G881" s="185"/>
      <c r="H881" s="186"/>
      <c r="I881" s="81">
        <f t="shared" si="1"/>
        <v>0</v>
      </c>
      <c r="J881" s="126"/>
      <c r="K881" s="125"/>
      <c r="L881" s="185"/>
      <c r="M881" s="430"/>
      <c r="N881" s="412" t="s">
        <v>1770</v>
      </c>
      <c r="O881" s="412">
        <v>135.0</v>
      </c>
      <c r="P881" s="412">
        <v>4.5</v>
      </c>
      <c r="Q881" s="21" t="s">
        <v>1237</v>
      </c>
    </row>
    <row r="882">
      <c r="A882" s="107" t="s">
        <v>967</v>
      </c>
      <c r="B882" s="415" t="str">
        <f>HYPERLINK("https://uva.onlinejudge.org/index.php?option=com_onlinejudge&amp;Itemid=8&amp;page=show_problem&amp;problem=4331","UVA 1556")</f>
        <v>UVA 1556</v>
      </c>
      <c r="C882" s="185"/>
      <c r="D882" s="185"/>
      <c r="E882" s="185"/>
      <c r="F882" s="185"/>
      <c r="G882" s="185"/>
      <c r="H882" s="186"/>
      <c r="I882" s="81">
        <f t="shared" si="1"/>
        <v>0</v>
      </c>
      <c r="J882" s="126"/>
      <c r="K882" s="125"/>
      <c r="L882" s="185"/>
      <c r="M882" s="430"/>
      <c r="N882" s="412" t="s">
        <v>1771</v>
      </c>
      <c r="O882" s="412">
        <v>135.0</v>
      </c>
      <c r="P882" s="412">
        <v>4.5</v>
      </c>
      <c r="Q882" s="21" t="s">
        <v>1237</v>
      </c>
    </row>
    <row r="883">
      <c r="A883" s="107" t="s">
        <v>966</v>
      </c>
      <c r="B883" s="415" t="str">
        <f>HYPERLINK("http://www.spoj.com/problems/DICT/","SPOJ DICT")</f>
        <v>SPOJ DICT</v>
      </c>
      <c r="C883" s="185"/>
      <c r="D883" s="185"/>
      <c r="E883" s="185"/>
      <c r="F883" s="185"/>
      <c r="G883" s="185"/>
      <c r="H883" s="186"/>
      <c r="I883" s="81">
        <f t="shared" si="1"/>
        <v>0</v>
      </c>
      <c r="J883" s="126"/>
      <c r="K883" s="125"/>
      <c r="L883" s="185"/>
      <c r="M883" s="430"/>
      <c r="N883" s="412" t="s">
        <v>1770</v>
      </c>
      <c r="O883" s="412">
        <v>135.0</v>
      </c>
      <c r="P883" s="412">
        <v>4.5</v>
      </c>
      <c r="Q883" s="21" t="s">
        <v>1235</v>
      </c>
    </row>
    <row r="884">
      <c r="A884" s="107" t="s">
        <v>970</v>
      </c>
      <c r="B884" s="415" t="str">
        <f>HYPERLINK("http://codeforces.com/contest/706/problem/D","CF706-D2-D")</f>
        <v>CF706-D2-D</v>
      </c>
      <c r="C884" s="185"/>
      <c r="D884" s="185"/>
      <c r="E884" s="185"/>
      <c r="F884" s="185"/>
      <c r="G884" s="185"/>
      <c r="H884" s="186"/>
      <c r="I884" s="81">
        <f t="shared" si="1"/>
        <v>0</v>
      </c>
      <c r="J884" s="126"/>
      <c r="K884" s="125"/>
      <c r="L884" s="185"/>
      <c r="M884" s="430"/>
      <c r="N884" s="412" t="s">
        <v>1770</v>
      </c>
      <c r="O884" s="412">
        <v>135.0</v>
      </c>
      <c r="P884" s="412">
        <v>5.0</v>
      </c>
      <c r="Q884" s="21" t="s">
        <v>1235</v>
      </c>
    </row>
    <row r="885">
      <c r="A885" s="107"/>
      <c r="B885" s="107" t="s">
        <v>993</v>
      </c>
      <c r="C885" s="185"/>
      <c r="D885" s="185"/>
      <c r="E885" s="185"/>
      <c r="F885" s="185"/>
      <c r="G885" s="185"/>
      <c r="H885" s="186"/>
      <c r="I885" s="81">
        <f t="shared" si="1"/>
        <v>0</v>
      </c>
      <c r="J885" s="126"/>
      <c r="K885" s="125"/>
      <c r="L885" s="185"/>
      <c r="M885" s="432" t="str">
        <f>HYPERLINK("https://github.com/ahmed-osama-iv/CompetitiveProgramming/blob/master/LiveArchive/8015.cpp","Sol")</f>
        <v>Sol</v>
      </c>
      <c r="N885" s="412" t="s">
        <v>1770</v>
      </c>
      <c r="O885" s="412">
        <v>135.0</v>
      </c>
      <c r="P885" s="412">
        <v>5.25</v>
      </c>
      <c r="Q885" s="21" t="s">
        <v>1262</v>
      </c>
    </row>
    <row r="886">
      <c r="A886" s="107"/>
      <c r="B886" s="415" t="str">
        <f>HYPERLINK("http://codeforces.com/contest/842/problem/D","CF842-D2-D")</f>
        <v>CF842-D2-D</v>
      </c>
      <c r="C886" s="185"/>
      <c r="D886" s="185"/>
      <c r="E886" s="185"/>
      <c r="F886" s="185"/>
      <c r="G886" s="185"/>
      <c r="H886" s="186"/>
      <c r="I886" s="81">
        <f t="shared" si="1"/>
        <v>0</v>
      </c>
      <c r="J886" s="126"/>
      <c r="K886" s="125"/>
      <c r="L886" s="185"/>
      <c r="M886" s="428"/>
      <c r="N886" s="412" t="s">
        <v>1772</v>
      </c>
      <c r="O886" s="412">
        <v>135.0</v>
      </c>
      <c r="P886" s="412">
        <v>5.5</v>
      </c>
      <c r="Q886" s="21" t="s">
        <v>1237</v>
      </c>
    </row>
    <row r="887">
      <c r="A887" s="107"/>
      <c r="B887" s="415" t="str">
        <f>HYPERLINK("https://codeforces.com/contest/665/problem/E","CF665-D12-E")</f>
        <v>CF665-D12-E</v>
      </c>
      <c r="C887" s="185"/>
      <c r="D887" s="185"/>
      <c r="E887" s="185"/>
      <c r="F887" s="185"/>
      <c r="G887" s="185"/>
      <c r="H887" s="186"/>
      <c r="I887" s="81">
        <f t="shared" si="1"/>
        <v>0</v>
      </c>
      <c r="J887" s="126"/>
      <c r="K887" s="125"/>
      <c r="L887" s="185"/>
      <c r="M887" s="428"/>
      <c r="N887" s="412" t="s">
        <v>1770</v>
      </c>
      <c r="O887" s="412">
        <v>135.0</v>
      </c>
      <c r="P887" s="412">
        <v>5.5</v>
      </c>
      <c r="Q887" s="21" t="s">
        <v>1237</v>
      </c>
    </row>
    <row r="888">
      <c r="A888" s="107"/>
      <c r="B888" s="107" t="s">
        <v>1773</v>
      </c>
      <c r="C888" s="185"/>
      <c r="D888" s="185"/>
      <c r="E888" s="185"/>
      <c r="F888" s="185"/>
      <c r="G888" s="185"/>
      <c r="H888" s="186"/>
      <c r="I888" s="81">
        <f t="shared" si="1"/>
        <v>0</v>
      </c>
      <c r="J888" s="126"/>
      <c r="K888" s="125"/>
      <c r="L888" s="185"/>
      <c r="M888" s="432" t="str">
        <f>HYPERLINK("https://github.com/HosamEissa/Competitive-programming-/blob/master/ACM-ICPC%20Live%20Archive/4682.cpp","Sol")</f>
        <v>Sol</v>
      </c>
      <c r="N888" s="412" t="s">
        <v>1770</v>
      </c>
      <c r="O888" s="412">
        <v>135.0</v>
      </c>
      <c r="P888" s="412">
        <v>5.5</v>
      </c>
      <c r="Q888" s="21"/>
    </row>
    <row r="889">
      <c r="A889" s="107"/>
      <c r="B889" s="415" t="str">
        <f>HYPERLINK("http://codeforces.com/contest/455/problem/B","CF455-D1-B")</f>
        <v>CF455-D1-B</v>
      </c>
      <c r="C889" s="185"/>
      <c r="D889" s="185"/>
      <c r="E889" s="185"/>
      <c r="F889" s="185"/>
      <c r="G889" s="185"/>
      <c r="H889" s="186"/>
      <c r="I889" s="81">
        <f t="shared" si="1"/>
        <v>0</v>
      </c>
      <c r="J889" s="126"/>
      <c r="K889" s="125"/>
      <c r="L889" s="185"/>
      <c r="M889" s="428"/>
      <c r="N889" s="412" t="s">
        <v>1770</v>
      </c>
      <c r="O889" s="412">
        <v>135.0</v>
      </c>
      <c r="P889" s="412">
        <v>5.5</v>
      </c>
      <c r="Q889" s="21"/>
    </row>
    <row r="890">
      <c r="A890" s="107" t="s">
        <v>913</v>
      </c>
      <c r="B890" s="415" t="str">
        <f>HYPERLINK("http://codeforces.com/contest/216/problem/D","CF216-D2-D")</f>
        <v>CF216-D2-D</v>
      </c>
      <c r="C890" s="185"/>
      <c r="D890" s="185"/>
      <c r="E890" s="185"/>
      <c r="F890" s="185"/>
      <c r="G890" s="185"/>
      <c r="H890" s="186"/>
      <c r="I890" s="81">
        <f t="shared" si="1"/>
        <v>0</v>
      </c>
      <c r="J890" s="126"/>
      <c r="K890" s="125"/>
      <c r="L890" s="185"/>
      <c r="M890" s="430"/>
      <c r="N890" s="412" t="s">
        <v>1774</v>
      </c>
      <c r="O890" s="412">
        <v>138.0</v>
      </c>
      <c r="P890" s="412">
        <v>3.0</v>
      </c>
    </row>
    <row r="891">
      <c r="A891" s="107" t="s">
        <v>614</v>
      </c>
      <c r="B891" s="415" t="str">
        <f>HYPERLINK("http://codeforces.com/contest/252/problem/C","CF252-D2-C")</f>
        <v>CF252-D2-C</v>
      </c>
      <c r="C891" s="185"/>
      <c r="D891" s="185"/>
      <c r="E891" s="185"/>
      <c r="F891" s="185"/>
      <c r="G891" s="185"/>
      <c r="H891" s="186"/>
      <c r="I891" s="81">
        <f t="shared" si="1"/>
        <v>0</v>
      </c>
      <c r="J891" s="86"/>
      <c r="K891" s="80"/>
      <c r="L891" s="185"/>
      <c r="M891" s="431"/>
      <c r="N891" s="412" t="s">
        <v>1775</v>
      </c>
      <c r="O891" s="412">
        <v>138.0</v>
      </c>
      <c r="P891" s="412">
        <v>4.0</v>
      </c>
      <c r="Q891" s="21" t="s">
        <v>1235</v>
      </c>
    </row>
    <row r="892">
      <c r="A892" s="107" t="s">
        <v>770</v>
      </c>
      <c r="B892" s="415" t="str">
        <f>HYPERLINK("http://codeforces.com/contest/155/problem/C","CF155-D2-C")</f>
        <v>CF155-D2-C</v>
      </c>
      <c r="C892" s="185"/>
      <c r="D892" s="185"/>
      <c r="E892" s="185"/>
      <c r="F892" s="185"/>
      <c r="G892" s="185"/>
      <c r="H892" s="186"/>
      <c r="I892" s="81">
        <f t="shared" si="1"/>
        <v>0</v>
      </c>
      <c r="J892" s="126"/>
      <c r="K892" s="125"/>
      <c r="L892" s="120"/>
      <c r="M892" s="431"/>
      <c r="N892" s="412" t="s">
        <v>1776</v>
      </c>
      <c r="O892" s="412">
        <v>138.0</v>
      </c>
      <c r="P892" s="412">
        <v>4.5</v>
      </c>
    </row>
    <row r="893">
      <c r="A893" s="107"/>
      <c r="B893" s="415" t="str">
        <f>HYPERLINK("http://codeforces.com/contest/1043/problem/D","CF1043-D12-D")</f>
        <v>CF1043-D12-D</v>
      </c>
      <c r="C893" s="185"/>
      <c r="D893" s="185"/>
      <c r="E893" s="185"/>
      <c r="F893" s="185"/>
      <c r="G893" s="185"/>
      <c r="H893" s="186"/>
      <c r="I893" s="81">
        <f t="shared" si="1"/>
        <v>0</v>
      </c>
      <c r="J893" s="86"/>
      <c r="K893" s="80"/>
      <c r="L893" s="185"/>
      <c r="M893" s="435"/>
      <c r="N893" s="412" t="s">
        <v>1777</v>
      </c>
      <c r="O893" s="412">
        <v>138.0</v>
      </c>
      <c r="P893" s="412">
        <v>5.0</v>
      </c>
      <c r="Q893" s="21" t="s">
        <v>1237</v>
      </c>
    </row>
    <row r="894">
      <c r="A894" s="107"/>
      <c r="B894" s="415" t="str">
        <f>HYPERLINK("https://www.codechef.com/ACMIND18/problems/REDCGAME","CODECHEF REDCGAME")</f>
        <v>CODECHEF REDCGAME</v>
      </c>
      <c r="C894" s="185"/>
      <c r="D894" s="185"/>
      <c r="E894" s="185"/>
      <c r="F894" s="185"/>
      <c r="G894" s="185"/>
      <c r="H894" s="186"/>
      <c r="I894" s="81">
        <f t="shared" si="1"/>
        <v>0</v>
      </c>
      <c r="J894" s="126"/>
      <c r="K894" s="125"/>
      <c r="L894" s="185"/>
      <c r="M894" s="430"/>
      <c r="N894" s="412" t="s">
        <v>1778</v>
      </c>
      <c r="O894" s="412">
        <v>138.0</v>
      </c>
      <c r="P894" s="412">
        <v>5.0</v>
      </c>
      <c r="Q894" s="21" t="s">
        <v>1235</v>
      </c>
    </row>
    <row r="895">
      <c r="A895" s="107" t="s">
        <v>1052</v>
      </c>
      <c r="B895" s="415" t="str">
        <f>HYPERLINK("http://codeforces.com/contest/368/problem/D","CF368-D2-D")</f>
        <v>CF368-D2-D</v>
      </c>
      <c r="C895" s="185"/>
      <c r="D895" s="185"/>
      <c r="E895" s="185"/>
      <c r="F895" s="185"/>
      <c r="G895" s="185"/>
      <c r="H895" s="186"/>
      <c r="I895" s="81">
        <f t="shared" si="1"/>
        <v>0</v>
      </c>
      <c r="J895" s="120"/>
      <c r="K895" s="185"/>
      <c r="L895" s="434"/>
      <c r="M895" s="432" t="str">
        <f>HYPERLINK("https://github.com/MohamedNabil97/CompetitiveProgramming/blob/master/CodeForces/CF368-D2-D.cpp","Sol")</f>
        <v>Sol</v>
      </c>
      <c r="N895" s="412" t="s">
        <v>1779</v>
      </c>
      <c r="O895" s="412">
        <v>138.0</v>
      </c>
      <c r="P895" s="412">
        <v>5.0</v>
      </c>
      <c r="Q895" s="21" t="s">
        <v>1235</v>
      </c>
    </row>
    <row r="896">
      <c r="A896" s="107" t="s">
        <v>915</v>
      </c>
      <c r="B896" s="415" t="str">
        <f>HYPERLINK("http://codeforces.com/contest/676/problem/C","CF676-D2-C")</f>
        <v>CF676-D2-C</v>
      </c>
      <c r="C896" s="185"/>
      <c r="D896" s="185"/>
      <c r="E896" s="185"/>
      <c r="F896" s="185"/>
      <c r="G896" s="185"/>
      <c r="H896" s="186"/>
      <c r="I896" s="81">
        <f t="shared" si="1"/>
        <v>0</v>
      </c>
      <c r="J896" s="126"/>
      <c r="K896" s="125"/>
      <c r="L896" s="185"/>
      <c r="M896" s="430"/>
      <c r="N896" s="412" t="s">
        <v>1778</v>
      </c>
      <c r="O896" s="412">
        <v>138.0</v>
      </c>
      <c r="P896" s="412">
        <v>5.0</v>
      </c>
    </row>
    <row r="897">
      <c r="A897" s="107" t="s">
        <v>793</v>
      </c>
      <c r="B897" s="415" t="str">
        <f>HYPERLINK("http://codeforces.com/contest/231/problem/C","CF231-D2-C")</f>
        <v>CF231-D2-C</v>
      </c>
      <c r="C897" s="185"/>
      <c r="D897" s="185"/>
      <c r="E897" s="185"/>
      <c r="F897" s="185"/>
      <c r="G897" s="185"/>
      <c r="H897" s="186"/>
      <c r="I897" s="81">
        <f t="shared" si="1"/>
        <v>0</v>
      </c>
      <c r="J897" s="126"/>
      <c r="K897" s="125"/>
      <c r="L897" s="185"/>
      <c r="M897" s="430"/>
      <c r="N897" s="412" t="s">
        <v>1780</v>
      </c>
      <c r="O897" s="412">
        <v>138.0</v>
      </c>
      <c r="P897" s="412">
        <v>5.0</v>
      </c>
    </row>
    <row r="898">
      <c r="A898" s="107" t="s">
        <v>1014</v>
      </c>
      <c r="B898" s="415" t="str">
        <f>HYPERLINK("http://codeforces.com/contest/224/problem/D","CF224-D2-D")</f>
        <v>CF224-D2-D</v>
      </c>
      <c r="C898" s="185"/>
      <c r="D898" s="185"/>
      <c r="E898" s="185"/>
      <c r="F898" s="185"/>
      <c r="G898" s="185"/>
      <c r="H898" s="186"/>
      <c r="I898" s="81">
        <f t="shared" si="1"/>
        <v>0</v>
      </c>
      <c r="J898" s="86"/>
      <c r="K898" s="80"/>
      <c r="L898" s="185"/>
      <c r="M898" s="432" t="str">
        <f>HYPERLINK("https://github.com/abdullaAshraf/Problem-Solving/blob/master/CodeForces/CF224-D2-D.cpp","Sol")</f>
        <v>Sol</v>
      </c>
      <c r="N898" s="412" t="s">
        <v>1778</v>
      </c>
      <c r="O898" s="412">
        <v>138.0</v>
      </c>
      <c r="P898" s="412">
        <v>5.5</v>
      </c>
      <c r="Q898" s="21" t="s">
        <v>1237</v>
      </c>
    </row>
    <row r="899">
      <c r="A899" s="107" t="s">
        <v>914</v>
      </c>
      <c r="B899" s="415" t="str">
        <f>HYPERLINK("http://codeforces.com/contest/334/problem/D","CF334-D2-D")</f>
        <v>CF334-D2-D</v>
      </c>
      <c r="C899" s="185"/>
      <c r="D899" s="185"/>
      <c r="E899" s="185"/>
      <c r="F899" s="185"/>
      <c r="G899" s="185"/>
      <c r="H899" s="186"/>
      <c r="I899" s="81">
        <f t="shared" si="1"/>
        <v>0</v>
      </c>
      <c r="J899" s="126"/>
      <c r="K899" s="125"/>
      <c r="L899" s="185"/>
      <c r="M899" s="430"/>
      <c r="N899" s="412" t="s">
        <v>1774</v>
      </c>
      <c r="O899" s="412">
        <v>138.0</v>
      </c>
      <c r="P899" s="412">
        <v>5.5</v>
      </c>
      <c r="Q899" s="21" t="s">
        <v>1235</v>
      </c>
    </row>
    <row r="900">
      <c r="A900" s="107"/>
      <c r="B900" s="415" t="str">
        <f>HYPERLINK("http://codeforces.com/contest/309/problem/B","CF309-D12-B")</f>
        <v>CF309-D12-B</v>
      </c>
      <c r="C900" s="185"/>
      <c r="D900" s="185"/>
      <c r="E900" s="185"/>
      <c r="F900" s="185"/>
      <c r="G900" s="185"/>
      <c r="H900" s="186"/>
      <c r="I900" s="81">
        <f t="shared" si="1"/>
        <v>0</v>
      </c>
      <c r="J900" s="86"/>
      <c r="K900" s="80"/>
      <c r="L900" s="434"/>
      <c r="M900" s="435"/>
      <c r="N900" s="412" t="s">
        <v>1781</v>
      </c>
      <c r="O900" s="412">
        <v>138.0</v>
      </c>
      <c r="P900" s="412">
        <v>5.5</v>
      </c>
      <c r="Q900" s="21" t="s">
        <v>1235</v>
      </c>
    </row>
    <row r="901">
      <c r="A901" s="107" t="s">
        <v>1162</v>
      </c>
      <c r="B901" s="415" t="str">
        <f>HYPERLINK("http://codeforces.com/contest/281/problem/D","CF281-D2-D")</f>
        <v>CF281-D2-D</v>
      </c>
      <c r="C901" s="185"/>
      <c r="D901" s="185"/>
      <c r="E901" s="185"/>
      <c r="F901" s="185"/>
      <c r="G901" s="185"/>
      <c r="H901" s="186"/>
      <c r="I901" s="81">
        <f t="shared" si="1"/>
        <v>0</v>
      </c>
      <c r="J901" s="120"/>
      <c r="K901" s="185"/>
      <c r="L901" s="434"/>
      <c r="M901" s="430"/>
      <c r="N901" s="412" t="s">
        <v>1782</v>
      </c>
      <c r="O901" s="412">
        <v>138.0</v>
      </c>
      <c r="P901" s="412">
        <v>5.5</v>
      </c>
    </row>
    <row r="902">
      <c r="A902" s="451"/>
      <c r="B902" s="451"/>
      <c r="C902" s="452"/>
      <c r="D902" s="452"/>
      <c r="E902" s="452"/>
      <c r="F902" s="452"/>
      <c r="G902" s="452"/>
      <c r="H902" s="453"/>
      <c r="I902" s="454"/>
      <c r="J902" s="455"/>
      <c r="K902" s="456"/>
      <c r="L902" s="455"/>
      <c r="M902" s="457"/>
      <c r="N902" s="458"/>
      <c r="O902" s="459"/>
      <c r="P902" s="460"/>
      <c r="Q902" s="461"/>
    </row>
    <row r="903">
      <c r="A903" s="50"/>
      <c r="B903" s="50"/>
      <c r="C903" s="50"/>
      <c r="D903" s="50"/>
      <c r="E903" s="50"/>
      <c r="F903" s="50"/>
      <c r="G903" s="462" t="s">
        <v>1783</v>
      </c>
      <c r="K903" s="462" t="s">
        <v>1784</v>
      </c>
      <c r="M903" s="462" t="s">
        <v>1785</v>
      </c>
      <c r="O903" s="463"/>
      <c r="P903" s="464"/>
      <c r="Q903" s="47"/>
    </row>
    <row r="904">
      <c r="A904" s="465" t="s">
        <v>1786</v>
      </c>
      <c r="C904" s="50"/>
      <c r="D904" s="50"/>
      <c r="E904" s="50"/>
      <c r="F904" s="50"/>
      <c r="G904" s="466"/>
      <c r="H904" s="430"/>
      <c r="I904" s="467"/>
      <c r="K904" s="60">
        <v>1.0</v>
      </c>
      <c r="L904" s="60"/>
      <c r="M904" s="90" t="str">
        <f>HYPERLINK("https://www.youtube.com/watch?v=fd0Ebfa_mJ0","Watch - Approaching Problem Statement ")</f>
        <v>Watch - Approaching Problem Statement </v>
      </c>
      <c r="O904" s="468"/>
      <c r="P904" s="464"/>
      <c r="Q904" s="47"/>
    </row>
    <row r="905">
      <c r="C905" s="50"/>
      <c r="D905" s="50"/>
      <c r="E905" s="50"/>
      <c r="F905" s="50"/>
      <c r="G905" s="469"/>
      <c r="H905" s="430"/>
      <c r="I905" s="467"/>
      <c r="K905" s="60">
        <v>2.0</v>
      </c>
      <c r="L905" s="60"/>
      <c r="M905" s="91" t="str">
        <f>HYPERLINK("https://www.youtube.com/watch?v=olcmPKZNqnM","Watch - Thinking - On papers Not on PC ")</f>
        <v>Watch - Thinking - On papers Not on PC </v>
      </c>
      <c r="O905" s="468"/>
      <c r="P905" s="290"/>
    </row>
    <row r="906">
      <c r="C906" s="50"/>
      <c r="D906" s="50"/>
      <c r="E906" s="50"/>
      <c r="F906" s="50"/>
      <c r="G906" s="466"/>
      <c r="H906" s="430"/>
      <c r="I906" s="467"/>
      <c r="K906" s="60">
        <v>3.0</v>
      </c>
      <c r="L906" s="60"/>
      <c r="M906" s="90" t="str">
        <f>HYPERLINK("https://www.youtube.com/watch?v=EQzmtn4PzYQ","Watch - Measuring Algorithms Perfromance - 1")</f>
        <v>Watch - Measuring Algorithms Perfromance - 1</v>
      </c>
      <c r="O906" s="468"/>
      <c r="P906" s="470"/>
    </row>
    <row r="907">
      <c r="C907" s="50"/>
      <c r="D907" s="50"/>
      <c r="E907" s="50"/>
      <c r="F907" s="50"/>
      <c r="G907" s="466"/>
      <c r="H907" s="430"/>
      <c r="I907" s="467"/>
      <c r="K907" s="60">
        <v>4.0</v>
      </c>
      <c r="L907" s="60"/>
      <c r="M907" s="155" t="str">
        <f>HYPERLINK("https://www.youtube.com/watch?v=Syx2qDjj7TE","Watch - Elementary Math - Introduction")</f>
        <v>Watch - Elementary Math - Introduction</v>
      </c>
      <c r="O907" s="470"/>
      <c r="P907" s="470"/>
    </row>
    <row r="908">
      <c r="C908" s="50"/>
      <c r="D908" s="50"/>
      <c r="E908" s="50"/>
      <c r="F908" s="50"/>
      <c r="G908" s="471">
        <v>109.0</v>
      </c>
      <c r="H908" s="430"/>
      <c r="I908" s="467"/>
      <c r="K908" s="60">
        <v>5.0</v>
      </c>
      <c r="L908" s="60"/>
      <c r="M908" s="472" t="str">
        <f>HYPERLINK("https://www.youtube.com/watch?v=9sqvjnvuLtY","Watch - Number Theory - Modular Arithmatic")</f>
        <v>Watch - Number Theory - Modular Arithmatic</v>
      </c>
      <c r="O908" s="473"/>
      <c r="P908" s="473"/>
    </row>
    <row r="909">
      <c r="C909" s="50"/>
      <c r="D909" s="50"/>
      <c r="E909" s="50"/>
      <c r="F909" s="50"/>
      <c r="G909" s="471" t="s">
        <v>1787</v>
      </c>
      <c r="H909" s="430"/>
      <c r="I909" s="467"/>
      <c r="K909" s="60">
        <v>6.0</v>
      </c>
      <c r="L909" s="60"/>
      <c r="M909" s="472" t="str">
        <f>HYPERLINK("https://www.youtube.com/watch?v=sr6WgCLcgVM","Watch - Combinatorics - Counting Principles")</f>
        <v>Watch - Combinatorics - Counting Principles</v>
      </c>
      <c r="O909" s="290"/>
      <c r="P909" s="290"/>
    </row>
    <row r="910">
      <c r="C910" s="50"/>
      <c r="D910" s="50"/>
      <c r="E910" s="50"/>
      <c r="F910" s="50"/>
      <c r="G910" s="469"/>
      <c r="H910" s="430"/>
      <c r="I910" s="467"/>
      <c r="K910" s="60">
        <v>7.0</v>
      </c>
      <c r="L910" s="60"/>
      <c r="M910" s="474" t="str">
        <f>HYPERLINK("https://www.youtube.com/watch?v=jzfcfQVBtKA","Watch - Graph Theory - Intro")</f>
        <v>Watch - Graph Theory - Intro</v>
      </c>
      <c r="O910" s="475"/>
      <c r="P910" s="475"/>
    </row>
    <row r="911">
      <c r="C911" s="50"/>
      <c r="D911" s="50"/>
      <c r="E911" s="50"/>
      <c r="F911" s="50"/>
      <c r="G911" s="476" t="s">
        <v>1788</v>
      </c>
      <c r="H911" s="430"/>
      <c r="I911" s="467"/>
      <c r="K911" s="60">
        <v>8.0</v>
      </c>
      <c r="L911" s="60"/>
      <c r="M911" s="474" t="str">
        <f>HYPERLINK("https://www.youtube.com/watch?v=9DP0X2xlPCo","Watch - Graph Theory - DFS")</f>
        <v>Watch - Graph Theory - DFS</v>
      </c>
      <c r="O911" s="470"/>
      <c r="P911" s="470"/>
    </row>
    <row r="912">
      <c r="C912" s="50"/>
      <c r="D912" s="50"/>
      <c r="E912" s="50"/>
      <c r="F912" s="50"/>
      <c r="G912" s="476">
        <v>45.0</v>
      </c>
      <c r="H912" s="430"/>
      <c r="I912" s="467"/>
      <c r="K912" s="60">
        <v>9.0</v>
      </c>
      <c r="L912" s="60"/>
      <c r="M912" s="91" t="str">
        <f>HYPERLINK("https://www.youtube.com/watch?v=XhVmgLXYvuQ","Watch - Computational Geometry - Intro")</f>
        <v>Watch - Computational Geometry - Intro</v>
      </c>
      <c r="O912" s="290"/>
      <c r="P912" s="290"/>
    </row>
    <row r="913">
      <c r="C913" s="50"/>
      <c r="D913" s="50"/>
      <c r="E913" s="50"/>
      <c r="F913" s="50"/>
      <c r="G913" s="476">
        <v>45.0</v>
      </c>
      <c r="H913" s="430"/>
      <c r="I913" s="467"/>
      <c r="K913" s="60">
        <v>10.0</v>
      </c>
      <c r="L913" s="60"/>
      <c r="M913" s="91" t="str">
        <f>HYPERLINK("https://www.youtube.com/watch?v=2CUN12WrNr4","Watch - Computational Geometry - Point and Vector")</f>
        <v>Watch - Computational Geometry - Point and Vector</v>
      </c>
      <c r="O913" s="477"/>
      <c r="P913" s="464"/>
      <c r="Q913" s="47"/>
    </row>
    <row r="914">
      <c r="C914" s="50"/>
      <c r="D914" s="50"/>
      <c r="E914" s="50"/>
      <c r="F914" s="50"/>
      <c r="G914" s="471">
        <v>6.0</v>
      </c>
      <c r="H914" s="430"/>
      <c r="I914" s="467"/>
      <c r="K914" s="60">
        <v>11.0</v>
      </c>
      <c r="L914" s="60"/>
      <c r="M914" s="90" t="str">
        <f>HYPERLINK("https://www.youtube.com/watch?v=2G7RzlxTNPo","Watch - Search Techniques - Binary Search")</f>
        <v>Watch - Search Techniques - Binary Search</v>
      </c>
      <c r="O914" s="478"/>
      <c r="P914" s="116"/>
      <c r="Q914" s="47"/>
    </row>
    <row r="915">
      <c r="C915" s="50"/>
      <c r="D915" s="50"/>
      <c r="E915" s="50"/>
      <c r="F915" s="50"/>
      <c r="G915" s="466"/>
      <c r="H915" s="430"/>
      <c r="I915" s="467"/>
      <c r="K915" s="60">
        <v>12.0</v>
      </c>
      <c r="L915" s="60"/>
      <c r="M915" s="187" t="str">
        <f>HYPERLINK("https://www.youtube.com/watch?v=x1rCxxKfFbM","Watch - Thinking - Problem Simplification ")</f>
        <v>Watch - Thinking - Problem Simplification </v>
      </c>
      <c r="O915" s="478"/>
      <c r="P915" s="116"/>
      <c r="Q915" s="47"/>
    </row>
    <row r="916">
      <c r="C916" s="50"/>
      <c r="D916" s="50"/>
      <c r="E916" s="50"/>
      <c r="F916" s="50"/>
      <c r="G916" s="469"/>
      <c r="H916" s="430"/>
      <c r="I916" s="467"/>
      <c r="K916" s="60">
        <v>13.0</v>
      </c>
      <c r="L916" s="60"/>
      <c r="M916" s="187" t="str">
        <f>HYPERLINK("https://www.youtube.com/watch?v=7z1498LTCgg","Watch - Thinking - Brainstorm - Rank - Approach ")</f>
        <v>Watch - Thinking - Brainstorm - Rank - Approach </v>
      </c>
      <c r="O916" s="290"/>
      <c r="P916" s="290"/>
    </row>
    <row r="917">
      <c r="C917" s="50"/>
      <c r="D917" s="50"/>
      <c r="E917" s="50"/>
      <c r="F917" s="50"/>
      <c r="G917" s="469"/>
      <c r="H917" s="430"/>
      <c r="I917" s="467"/>
      <c r="K917" s="60">
        <v>14.0</v>
      </c>
      <c r="L917" s="60"/>
      <c r="M917" s="209" t="str">
        <f>HYPERLINK("https://www.youtube.com/watch?v=KAS83uXf_8s&amp;list=PLPt2dINI2MIZPFq6HyUB1Uhxdh1UDnZMS","Study STL")</f>
        <v>Study STL</v>
      </c>
      <c r="O917" s="290"/>
      <c r="P917" s="290"/>
    </row>
    <row r="918">
      <c r="C918" s="50"/>
      <c r="D918" s="50"/>
      <c r="E918" s="50"/>
      <c r="F918" s="50"/>
      <c r="G918" s="471" t="s">
        <v>1787</v>
      </c>
      <c r="H918" s="430"/>
      <c r="I918" s="467"/>
      <c r="K918" s="60">
        <v>15.0</v>
      </c>
      <c r="L918" s="60"/>
      <c r="M918" s="191" t="str">
        <f>HYPERLINK("https://www.youtube.com/watch?v=9wvqNeX_JnI","Watch - Combinatorics - Permutations and Combinations - 1")</f>
        <v>Watch - Combinatorics - Permutations and Combinations - 1</v>
      </c>
      <c r="O918" s="470"/>
      <c r="P918" s="470"/>
    </row>
    <row r="919">
      <c r="C919" s="50"/>
      <c r="D919" s="50"/>
      <c r="E919" s="50"/>
      <c r="F919" s="50"/>
      <c r="G919" s="471" t="s">
        <v>1787</v>
      </c>
      <c r="H919" s="430"/>
      <c r="I919" s="467"/>
      <c r="K919" s="60">
        <v>16.0</v>
      </c>
      <c r="L919" s="60"/>
      <c r="M919" s="191" t="str">
        <f>HYPERLINK("https://www.youtube.com/watch?v=8V_xhaPpjmM","Watch - Combinatorics - Permutations and Combinations - 2")</f>
        <v>Watch - Combinatorics - Permutations and Combinations - 2</v>
      </c>
      <c r="O919" s="191"/>
      <c r="P919" s="191"/>
    </row>
    <row r="920">
      <c r="C920" s="50"/>
      <c r="D920" s="50"/>
      <c r="E920" s="50"/>
      <c r="F920" s="50"/>
      <c r="G920" s="469"/>
      <c r="H920" s="430"/>
      <c r="I920" s="467"/>
      <c r="K920" s="60">
        <v>17.0</v>
      </c>
      <c r="L920" s="60"/>
      <c r="M920" s="193" t="str">
        <f t="shared" ref="M920:M921" si="2">HYPERLINK("https://www.youtube.com/watch?v=tKGztXjnnuA","Watch - Training-Secrets of Success")</f>
        <v>Watch - Training-Secrets of Success</v>
      </c>
      <c r="O920" s="191"/>
      <c r="P920" s="191"/>
    </row>
    <row r="921">
      <c r="A921" s="107"/>
      <c r="B921" s="107"/>
      <c r="C921" s="50"/>
      <c r="D921" s="50"/>
      <c r="E921" s="50"/>
      <c r="F921" s="50"/>
      <c r="G921" s="469"/>
      <c r="H921" s="430"/>
      <c r="I921" s="467"/>
      <c r="K921" s="60">
        <v>18.0</v>
      </c>
      <c r="L921" s="60"/>
      <c r="M921" s="479" t="str">
        <f t="shared" si="2"/>
        <v>Watch - Training-Secrets of Success</v>
      </c>
      <c r="N921" s="480"/>
      <c r="O921" s="191"/>
      <c r="P921" s="191"/>
    </row>
    <row r="922">
      <c r="A922" s="107"/>
      <c r="B922" s="107"/>
      <c r="C922" s="50"/>
      <c r="D922" s="50"/>
      <c r="E922" s="50"/>
      <c r="F922" s="50"/>
      <c r="G922" s="476">
        <v>99.0</v>
      </c>
      <c r="H922" s="430"/>
      <c r="I922" s="467"/>
      <c r="K922" s="60">
        <v>19.0</v>
      </c>
      <c r="L922" s="60"/>
      <c r="M922" s="191" t="str">
        <f>HYPERLINK("https://www.youtube.com/watch?v=YklnFXpq0ZE","Watch - Number Theory - Fib, GCD, LCM, Pow")</f>
        <v>Watch - Number Theory - Fib, GCD, LCM, Pow</v>
      </c>
      <c r="O922" s="191"/>
      <c r="P922" s="191"/>
    </row>
    <row r="923">
      <c r="A923" s="50"/>
      <c r="B923" s="50"/>
      <c r="C923" s="50"/>
      <c r="D923" s="50"/>
      <c r="E923" s="50"/>
      <c r="F923" s="50"/>
      <c r="G923" s="466"/>
      <c r="H923" s="430"/>
      <c r="I923" s="467"/>
      <c r="K923" s="60">
        <v>20.0</v>
      </c>
      <c r="L923" s="60"/>
      <c r="M923" s="481" t="str">
        <f>HYPERLINK("https://www.youtube.com/watch?v=hqOqr6vFPp8","Watch - Prefix Sum")</f>
        <v>Watch - Prefix Sum</v>
      </c>
      <c r="O923" s="191"/>
      <c r="P923" s="482"/>
      <c r="Q923" s="47"/>
    </row>
    <row r="924">
      <c r="A924" s="107"/>
      <c r="B924" s="107"/>
      <c r="C924" s="50"/>
      <c r="D924" s="50"/>
      <c r="E924" s="50"/>
      <c r="F924" s="50"/>
      <c r="G924" s="476">
        <v>57.0</v>
      </c>
      <c r="H924" s="430"/>
      <c r="I924" s="467"/>
      <c r="K924" s="60">
        <v>21.0</v>
      </c>
      <c r="L924" s="60"/>
      <c r="M924" s="191" t="str">
        <f>HYPERLINK("https://www.youtube.com/watch?v=COB1GHq0YwY","Watch - Graph Theory - BFS")</f>
        <v>Watch - Graph Theory - BFS</v>
      </c>
      <c r="O924" s="191"/>
      <c r="P924" s="90"/>
    </row>
    <row r="925">
      <c r="A925" s="107"/>
      <c r="B925" s="107"/>
      <c r="C925" s="50"/>
      <c r="D925" s="50"/>
      <c r="E925" s="50"/>
      <c r="F925" s="50"/>
      <c r="G925" s="471"/>
      <c r="H925" s="430"/>
      <c r="I925" s="467"/>
      <c r="K925" s="60">
        <v>22.0</v>
      </c>
      <c r="L925" s="60"/>
      <c r="M925" s="209" t="str">
        <f>HYPERLINK("https://www.youtube.com/watch?v=hyk46UmJPS4&amp;list=PLPt2dINI2MIZPFq6HyUB1Uhxdh1UDnZMS&amp;index=22","Review - Recursion")</f>
        <v>Review - Recursion</v>
      </c>
      <c r="N925" s="209"/>
      <c r="O925" s="191"/>
      <c r="P925" s="472"/>
    </row>
    <row r="926">
      <c r="A926" s="107"/>
      <c r="B926" s="107"/>
      <c r="C926" s="50"/>
      <c r="D926" s="50"/>
      <c r="E926" s="50"/>
      <c r="F926" s="50"/>
      <c r="G926" s="476">
        <v>10.0</v>
      </c>
      <c r="H926" s="430"/>
      <c r="I926" s="467"/>
      <c r="K926" s="60">
        <v>23.0</v>
      </c>
      <c r="L926" s="60"/>
      <c r="M926" s="193" t="str">
        <f>HYPERLINK("https://www.youtube.com/watch?v=gFdP6X4CyKU","Watch - DP - intro 1")</f>
        <v>Watch - DP - intro 1</v>
      </c>
      <c r="O926" s="191"/>
      <c r="P926" s="191"/>
    </row>
    <row r="927">
      <c r="A927" s="107"/>
      <c r="B927" s="107"/>
      <c r="C927" s="50"/>
      <c r="D927" s="50"/>
      <c r="E927" s="50"/>
      <c r="F927" s="50"/>
      <c r="G927" s="476">
        <v>10.0</v>
      </c>
      <c r="H927" s="430"/>
      <c r="I927" s="467"/>
      <c r="K927" s="60">
        <v>24.0</v>
      </c>
      <c r="L927" s="60"/>
      <c r="M927" s="193" t="str">
        <f>HYPERLINK("https://www.youtube.com/watch?v=1j3srLj-C5Q","Watch - DP - intro 2")</f>
        <v>Watch - DP - intro 2</v>
      </c>
      <c r="O927" s="191"/>
      <c r="P927" s="191"/>
    </row>
    <row r="928">
      <c r="A928" s="107"/>
      <c r="B928" s="107"/>
      <c r="C928" s="50"/>
      <c r="D928" s="50"/>
      <c r="E928" s="50"/>
      <c r="F928" s="50"/>
      <c r="G928" s="476">
        <v>45.0</v>
      </c>
      <c r="H928" s="430"/>
      <c r="I928" s="467"/>
      <c r="K928" s="60">
        <v>25.0</v>
      </c>
      <c r="L928" s="60"/>
      <c r="M928" s="191" t="str">
        <f>HYPERLINK("https://www.youtube.com/watch?v=dcMtSmWHLP4","Watch - Computational Geometry - Complex Number and 2D Point")</f>
        <v>Watch - Computational Geometry - Complex Number and 2D Point</v>
      </c>
      <c r="O928" s="191"/>
      <c r="P928" s="191"/>
    </row>
    <row r="929">
      <c r="A929" s="107"/>
      <c r="B929" s="107"/>
      <c r="C929" s="50"/>
      <c r="D929" s="50"/>
      <c r="E929" s="50"/>
      <c r="F929" s="50"/>
      <c r="G929" s="476">
        <v>48.0</v>
      </c>
      <c r="H929" s="430"/>
      <c r="I929" s="467"/>
      <c r="K929" s="60">
        <v>26.0</v>
      </c>
      <c r="L929" s="60"/>
      <c r="M929" s="191" t="str">
        <f>HYPERLINK("https://www.youtube.com/watch?v=1Vi2h7dKdEQ","Watch - Computational Geometry - Lines and Distances")</f>
        <v>Watch - Computational Geometry - Lines and Distances</v>
      </c>
      <c r="O929" s="191"/>
      <c r="P929" s="191"/>
    </row>
    <row r="930">
      <c r="A930" s="107"/>
      <c r="B930" s="107"/>
      <c r="C930" s="50"/>
      <c r="D930" s="50"/>
      <c r="E930" s="50"/>
      <c r="F930" s="50"/>
      <c r="G930" s="469"/>
      <c r="H930" s="430"/>
      <c r="I930" s="467"/>
      <c r="K930" s="60">
        <v>27.0</v>
      </c>
      <c r="L930" s="60"/>
      <c r="M930" s="131" t="str">
        <f>HYPERLINK("https://www.youtube.com/watch?v=WTr12dK2Se0","Watch - Focused and Diffused Thinking")</f>
        <v>Watch - Focused and Diffused Thinking</v>
      </c>
      <c r="O930" s="191"/>
      <c r="P930" s="91"/>
    </row>
    <row r="931">
      <c r="A931" s="107"/>
      <c r="B931" s="107"/>
      <c r="C931" s="50"/>
      <c r="D931" s="50"/>
      <c r="E931" s="50"/>
      <c r="F931" s="50"/>
      <c r="G931" s="476" t="s">
        <v>1789</v>
      </c>
      <c r="H931" s="430"/>
      <c r="I931" s="467"/>
      <c r="K931" s="60">
        <v>28.0</v>
      </c>
      <c r="L931" s="60"/>
      <c r="M931" s="191" t="str">
        <f>HYPERLINK("https://www.youtube.com/watch?v=HQ5ANfzSDn0","Watch - Graph Theory - MST - Kruskal")</f>
        <v>Watch - Graph Theory - MST - Kruskal</v>
      </c>
      <c r="O931" s="191"/>
      <c r="P931" s="191"/>
    </row>
    <row r="932">
      <c r="A932" s="107"/>
      <c r="B932" s="107"/>
      <c r="C932" s="50"/>
      <c r="D932" s="50"/>
      <c r="E932" s="50"/>
      <c r="F932" s="50"/>
      <c r="G932" s="476">
        <v>84.0</v>
      </c>
      <c r="H932" s="430"/>
      <c r="I932" s="467"/>
      <c r="K932" s="60">
        <v>29.0</v>
      </c>
      <c r="L932" s="60"/>
      <c r="M932" s="483" t="str">
        <f>HYPERLINK("https://www.youtube.com/watch?v=iXxP_liQklk","Watch - Intro to Greedy")</f>
        <v>Watch - Intro to Greedy</v>
      </c>
      <c r="O932" s="191"/>
      <c r="P932" s="191"/>
    </row>
    <row r="933">
      <c r="A933" s="107"/>
      <c r="B933" s="107"/>
      <c r="C933" s="50"/>
      <c r="D933" s="50"/>
      <c r="E933" s="50"/>
      <c r="F933" s="50"/>
      <c r="G933" s="469"/>
      <c r="H933" s="430"/>
      <c r="I933" s="467"/>
      <c r="K933" s="60">
        <v>30.0</v>
      </c>
      <c r="L933" s="60"/>
      <c r="M933" s="187" t="str">
        <f>HYPERLINK("https://www.youtube.com/watch?v=Tm_Vlkv4mOo","Watch - Thinking - Concretely - Symbolically - Pictorially ")</f>
        <v>Watch - Thinking - Concretely - Symbolically - Pictorially </v>
      </c>
      <c r="O933" s="191"/>
      <c r="P933" s="91"/>
    </row>
    <row r="934">
      <c r="A934" s="107"/>
      <c r="B934" s="107"/>
      <c r="C934" s="50"/>
      <c r="D934" s="50"/>
      <c r="E934" s="50"/>
      <c r="F934" s="50"/>
      <c r="G934" s="469"/>
      <c r="H934" s="430"/>
      <c r="I934" s="467"/>
      <c r="K934" s="60">
        <v>31.0</v>
      </c>
      <c r="L934" s="60"/>
      <c r="M934" s="191" t="str">
        <f>HYPERLINK("https://www.youtube.com/watch?v=6Fx8T_NBA7Q","Watch - Thinking - Problem Constraints ")</f>
        <v>Watch - Thinking - Problem Constraints </v>
      </c>
      <c r="O934" s="191"/>
      <c r="P934" s="290"/>
    </row>
    <row r="935">
      <c r="A935" s="107"/>
      <c r="B935" s="107"/>
      <c r="C935" s="50"/>
      <c r="D935" s="50"/>
      <c r="E935" s="50"/>
      <c r="F935" s="50"/>
      <c r="G935" s="476">
        <v>117.0</v>
      </c>
      <c r="H935" s="430"/>
      <c r="I935" s="467"/>
      <c r="K935" s="60">
        <v>32.0</v>
      </c>
      <c r="L935" s="60"/>
      <c r="M935" s="191" t="str">
        <f>HYPERLINK("https://www.youtube.com/watch?v=VZBfW08ECgA","Watch - Number Theory - Primes")</f>
        <v>Watch - Number Theory - Primes</v>
      </c>
      <c r="O935" s="191"/>
      <c r="P935" s="191"/>
    </row>
    <row r="936">
      <c r="A936" s="107"/>
      <c r="B936" s="107"/>
      <c r="C936" s="50"/>
      <c r="D936" s="50"/>
      <c r="E936" s="50"/>
      <c r="F936" s="50"/>
      <c r="G936" s="469"/>
      <c r="H936" s="430"/>
      <c r="I936" s="467"/>
      <c r="K936" s="60">
        <v>33.0</v>
      </c>
      <c r="L936" s="60"/>
      <c r="M936" s="191" t="str">
        <f>HYPERLINK("https://www.youtube.com/watch?v=jxvaNAthWRI","Watch - Algebra - Number Bases and Polynomials")</f>
        <v>Watch - Algebra - Number Bases and Polynomials</v>
      </c>
      <c r="O936" s="191"/>
      <c r="P936" s="187"/>
    </row>
    <row r="937">
      <c r="A937" s="107"/>
      <c r="B937" s="107"/>
      <c r="C937" s="50"/>
      <c r="D937" s="50"/>
      <c r="E937" s="50"/>
      <c r="F937" s="50"/>
      <c r="G937" s="469"/>
      <c r="H937" s="430"/>
      <c r="I937" s="467"/>
      <c r="K937" s="60">
        <v>34.0</v>
      </c>
      <c r="L937" s="60"/>
      <c r="M937" s="191" t="str">
        <f>HYPERLINK("https://www.youtube.com/watch?v=O2SPaQXYHFc","Watch - Algebra - Patterns in Sequences")</f>
        <v>Watch - Algebra - Patterns in Sequences</v>
      </c>
      <c r="O937" s="191"/>
      <c r="P937" s="191"/>
    </row>
    <row r="938">
      <c r="A938" s="107"/>
      <c r="B938" s="107"/>
      <c r="C938" s="50"/>
      <c r="D938" s="50"/>
      <c r="E938" s="50"/>
      <c r="F938" s="50"/>
      <c r="G938" s="476">
        <v>118.0</v>
      </c>
      <c r="H938" s="430"/>
      <c r="I938" s="467"/>
      <c r="K938" s="60">
        <v>35.0</v>
      </c>
      <c r="L938" s="60"/>
      <c r="M938" s="191" t="str">
        <f>HYPERLINK("https://www.youtube.com/watch?v=xY8To84R87Y","Watch - Algebra - Summations")</f>
        <v>Watch - Algebra - Summations</v>
      </c>
      <c r="O938" s="191"/>
      <c r="P938" s="187"/>
    </row>
    <row r="939">
      <c r="A939" s="107"/>
      <c r="B939" s="107"/>
      <c r="C939" s="50"/>
      <c r="D939" s="50"/>
      <c r="E939" s="50"/>
      <c r="F939" s="50"/>
      <c r="G939" s="469"/>
      <c r="H939" s="430"/>
      <c r="I939" s="467"/>
      <c r="K939" s="60">
        <v>36.0</v>
      </c>
      <c r="L939" s="60"/>
      <c r="M939" s="191" t="str">
        <f>HYPERLINK("https://www.youtube.com/watch?v=OcqD14kI3Wk","Watch - Algebra - Basic Matrix Operations")</f>
        <v>Watch - Algebra - Basic Matrix Operations</v>
      </c>
      <c r="O939" s="191"/>
      <c r="P939" s="187"/>
    </row>
    <row r="940">
      <c r="A940" s="107"/>
      <c r="B940" s="107"/>
      <c r="C940" s="50"/>
      <c r="D940" s="50"/>
      <c r="E940" s="50"/>
      <c r="F940" s="50"/>
      <c r="G940" s="469"/>
      <c r="H940" s="430"/>
      <c r="I940" s="467"/>
      <c r="K940" s="60">
        <v>37.0</v>
      </c>
      <c r="L940" s="60"/>
      <c r="M940" s="191" t="str">
        <f>HYPERLINK("https://www.youtube.com/watch?v=F0hmrbOW8nw","Watch - Thinking - Problem Abstraction ")</f>
        <v>Watch - Thinking - Problem Abstraction </v>
      </c>
      <c r="O940" s="191"/>
      <c r="P940" s="191"/>
    </row>
    <row r="941">
      <c r="A941" s="107"/>
      <c r="B941" s="107"/>
      <c r="C941" s="50"/>
      <c r="D941" s="50"/>
      <c r="E941" s="50"/>
      <c r="F941" s="50"/>
      <c r="G941" s="484"/>
      <c r="H941" s="430"/>
      <c r="I941" s="467"/>
      <c r="K941" s="60">
        <v>38.0</v>
      </c>
      <c r="L941" s="60"/>
      <c r="M941" s="191" t="str">
        <f>HYPERLINK("https://www.youtube.com/watch?v=0wlc8Rhyybo","Watch - Thinking - Problem Reverse")</f>
        <v>Watch - Thinking - Problem Reverse</v>
      </c>
      <c r="O941" s="191"/>
      <c r="P941" s="474"/>
    </row>
    <row r="942">
      <c r="A942" s="107"/>
      <c r="B942" s="107"/>
      <c r="C942" s="50"/>
      <c r="D942" s="50"/>
      <c r="E942" s="50"/>
      <c r="F942" s="50"/>
      <c r="G942" s="476">
        <v>3.0</v>
      </c>
      <c r="H942" s="430"/>
      <c r="I942" s="467"/>
      <c r="K942" s="60">
        <v>39.0</v>
      </c>
      <c r="L942" s="60"/>
      <c r="M942" s="187" t="str">
        <f>HYPERLINK("https://www.youtube.com/watch?v=hLXVhRzqq18","Watch - Search Techniques - Backtracking")</f>
        <v>Watch - Search Techniques - Backtracking</v>
      </c>
      <c r="O942" s="191"/>
      <c r="P942" s="193"/>
    </row>
    <row r="943">
      <c r="A943" s="107"/>
      <c r="B943" s="107"/>
      <c r="C943" s="50"/>
      <c r="D943" s="50"/>
      <c r="E943" s="50"/>
      <c r="F943" s="50"/>
      <c r="G943" s="469"/>
      <c r="H943" s="430"/>
      <c r="I943" s="467"/>
      <c r="K943" s="60">
        <v>40.0</v>
      </c>
      <c r="L943" s="60"/>
      <c r="M943" s="209" t="str">
        <f>HYPERLINK("https://www.youtube.com/watch?v=ldwGf-iVsdU&amp;t=2s&amp;list=PLPt2dINI2MIZPFq6HyUB1Uhxdh1UDnZMS","Review bitmasking")</f>
        <v>Review bitmasking</v>
      </c>
      <c r="N943" s="480"/>
      <c r="O943" s="191"/>
      <c r="P943" s="191"/>
    </row>
    <row r="944">
      <c r="A944" s="107"/>
      <c r="B944" s="107"/>
      <c r="C944" s="50"/>
      <c r="D944" s="50"/>
      <c r="E944" s="50"/>
      <c r="F944" s="50"/>
      <c r="G944" s="485">
        <v>10.0</v>
      </c>
      <c r="H944" s="430"/>
      <c r="I944" s="467"/>
      <c r="K944" s="60">
        <v>41.0</v>
      </c>
      <c r="L944" s="60"/>
      <c r="M944" s="187" t="str">
        <f>HYPERLINK("https://www.youtube.com/watch?v=vAqaki1BhS0","Watch - DP - Subset Style")</f>
        <v>Watch - DP - Subset Style</v>
      </c>
      <c r="O944" s="191"/>
      <c r="P944" s="474"/>
    </row>
    <row r="945">
      <c r="A945" s="107"/>
      <c r="B945" s="107"/>
      <c r="C945" s="50"/>
      <c r="D945" s="50"/>
      <c r="E945" s="50"/>
      <c r="F945" s="50"/>
      <c r="G945" s="476">
        <v>32.0</v>
      </c>
      <c r="H945" s="430"/>
      <c r="I945" s="467"/>
      <c r="K945" s="60">
        <v>42.0</v>
      </c>
      <c r="L945" s="60"/>
      <c r="M945" s="187" t="str">
        <f>HYPERLINK("https://www.youtube.com/watch?v=bDlAqeWsKsg","Watch - DP - Consecutive Ranges Style")</f>
        <v>Watch - DP - Consecutive Ranges Style</v>
      </c>
      <c r="O945" s="191"/>
      <c r="P945" s="191"/>
    </row>
    <row r="946">
      <c r="A946" s="107"/>
      <c r="B946" s="107"/>
      <c r="C946" s="50"/>
      <c r="D946" s="50"/>
      <c r="E946" s="50"/>
      <c r="F946" s="50"/>
      <c r="G946" s="476">
        <v>32.0</v>
      </c>
      <c r="H946" s="430"/>
      <c r="I946" s="467"/>
      <c r="K946" s="60">
        <v>43.0</v>
      </c>
      <c r="L946" s="60"/>
      <c r="M946" s="187" t="str">
        <f>HYPERLINK("https://www.youtube.com/watch?v=b4AC2jGNGEM","Watch - DP - Nested Ranges Style")</f>
        <v>Watch - DP - Nested Ranges Style</v>
      </c>
      <c r="O946" s="191"/>
      <c r="P946" s="473"/>
    </row>
    <row r="947">
      <c r="A947" s="107"/>
      <c r="B947" s="107"/>
      <c r="C947" s="50"/>
      <c r="D947" s="50"/>
      <c r="E947" s="50"/>
      <c r="F947" s="50"/>
      <c r="G947" s="476">
        <v>32.0</v>
      </c>
      <c r="H947" s="430"/>
      <c r="I947" s="467"/>
      <c r="K947" s="60">
        <v>44.0</v>
      </c>
      <c r="L947" s="60"/>
      <c r="M947" s="191" t="str">
        <f>HYPERLINK("https://www.youtube.com/watch?v=pJbeTrSKl3Y","Watch - DP - General Ranges Style")</f>
        <v>Watch - DP - General Ranges Style</v>
      </c>
      <c r="O947" s="191"/>
      <c r="P947" s="480"/>
    </row>
    <row r="948">
      <c r="A948" s="107"/>
      <c r="B948" s="107"/>
      <c r="C948" s="50"/>
      <c r="D948" s="50"/>
      <c r="E948" s="50"/>
      <c r="F948" s="50"/>
      <c r="G948" s="469"/>
      <c r="H948" s="430"/>
      <c r="I948" s="467"/>
      <c r="K948" s="60">
        <v>45.0</v>
      </c>
      <c r="L948" s="60"/>
      <c r="M948" s="191" t="str">
        <f>HYPERLINK("https://www.youtube.com/watch?v=5zILiqyQ2ts","Watch - Thinking - Incrementally")</f>
        <v>Watch - Thinking - Incrementally</v>
      </c>
      <c r="O948" s="191"/>
      <c r="P948" s="191"/>
    </row>
    <row r="949">
      <c r="A949" s="107"/>
      <c r="B949" s="107"/>
      <c r="C949" s="50"/>
      <c r="D949" s="50"/>
      <c r="E949" s="50"/>
      <c r="F949" s="50"/>
      <c r="G949" s="469"/>
      <c r="H949" s="430"/>
      <c r="I949" s="467"/>
      <c r="K949" s="60">
        <v>46.0</v>
      </c>
      <c r="L949" s="60"/>
      <c r="M949" s="191" t="str">
        <f>HYPERLINK("https://www.youtube.com/watch?v=9fwHOeebIgc","Watch - Thinking - Problem Domain re-interpretation")</f>
        <v>Watch - Thinking - Problem Domain re-interpretation</v>
      </c>
      <c r="O949" s="191"/>
      <c r="P949" s="191"/>
    </row>
    <row r="950">
      <c r="A950" s="107"/>
      <c r="B950" s="107"/>
      <c r="C950" s="50"/>
      <c r="D950" s="50"/>
      <c r="E950" s="50"/>
      <c r="F950" s="50"/>
      <c r="G950" s="476">
        <v>95.0</v>
      </c>
      <c r="H950" s="430"/>
      <c r="I950" s="467"/>
      <c r="K950" s="60">
        <v>47.0</v>
      </c>
      <c r="L950" s="60"/>
      <c r="M950" s="191" t="str">
        <f>HYPERLINK("https://www.youtube.com/watch?v=-5ApOQDhBtU","Watch - Number Theory - Factorization")</f>
        <v>Watch - Number Theory - Factorization</v>
      </c>
      <c r="O950" s="191"/>
      <c r="P950" s="191"/>
    </row>
    <row r="951">
      <c r="A951" s="107"/>
      <c r="B951" s="107"/>
      <c r="C951" s="50"/>
      <c r="D951" s="50"/>
      <c r="E951" s="50"/>
      <c r="F951" s="50"/>
      <c r="G951" s="471">
        <v>113.0</v>
      </c>
      <c r="H951" s="430"/>
      <c r="I951" s="467"/>
      <c r="K951" s="60">
        <v>48.0</v>
      </c>
      <c r="L951" s="60"/>
      <c r="M951" s="486" t="str">
        <f>HYPERLINK("https://www.youtube.com/playlist?list=PLC58778F28211FA19","Watch - Probability - First 9 videos")</f>
        <v>Watch - Probability - First 9 videos</v>
      </c>
      <c r="O951" s="191"/>
      <c r="P951" s="472"/>
    </row>
    <row r="952">
      <c r="A952" s="107"/>
      <c r="B952" s="107"/>
      <c r="C952" s="50"/>
      <c r="D952" s="50"/>
      <c r="E952" s="50"/>
      <c r="F952" s="50"/>
      <c r="G952" s="469"/>
      <c r="H952" s="430"/>
      <c r="I952" s="467"/>
      <c r="K952" s="60">
        <v>49.0</v>
      </c>
      <c r="L952" s="60"/>
      <c r="M952" s="191" t="str">
        <f>HYPERLINK("https://www.youtube.com/watch?v=YUIwEX8UEN0","Watch - Thinking - Search Space and Output Analysis")</f>
        <v>Watch - Thinking - Search Space and Output Analysis</v>
      </c>
      <c r="O952" s="191"/>
      <c r="P952" s="191"/>
      <c r="Q952" s="191"/>
    </row>
    <row r="953">
      <c r="A953" s="107"/>
      <c r="B953" s="107"/>
      <c r="C953" s="50"/>
      <c r="D953" s="50"/>
      <c r="E953" s="50"/>
      <c r="F953" s="50"/>
      <c r="G953" s="469"/>
      <c r="H953" s="430"/>
      <c r="I953" s="467"/>
      <c r="K953" s="60">
        <v>50.0</v>
      </c>
      <c r="L953" s="60"/>
      <c r="M953" s="187" t="str">
        <f>HYPERLINK("https://www.youtube.com/watch?v=TP8QXP6PBqM","Watch - Thinking - Observations Discovery ")</f>
        <v>Watch - Thinking - Observations Discovery </v>
      </c>
      <c r="O953" s="191"/>
      <c r="P953" s="473"/>
      <c r="Q953" s="473"/>
    </row>
    <row r="954">
      <c r="A954" s="107"/>
      <c r="B954" s="107"/>
      <c r="C954" s="50"/>
      <c r="D954" s="50"/>
      <c r="E954" s="50"/>
      <c r="F954" s="50"/>
      <c r="G954" s="476">
        <v>41.0</v>
      </c>
      <c r="H954" s="430"/>
      <c r="I954" s="467"/>
      <c r="K954" s="60">
        <v>51.0</v>
      </c>
      <c r="L954" s="60"/>
      <c r="M954" s="187" t="str">
        <f>HYPERLINK("https://www.youtube.com/watch?v=rdUs4FGkgRo","Watch - Game Theory - Intro")</f>
        <v>Watch - Game Theory - Intro</v>
      </c>
      <c r="O954" s="191"/>
      <c r="P954" s="487"/>
      <c r="Q954" s="487"/>
    </row>
    <row r="955">
      <c r="A955" s="107"/>
      <c r="B955" s="107"/>
      <c r="C955" s="50"/>
      <c r="D955" s="50"/>
      <c r="E955" s="50"/>
      <c r="F955" s="50"/>
      <c r="G955" s="469"/>
      <c r="H955" s="430"/>
      <c r="I955" s="467"/>
      <c r="K955" s="60">
        <v>52.0</v>
      </c>
      <c r="L955" s="60"/>
      <c r="M955" s="187" t="str">
        <f>HYPERLINK("https://www.youtube.com/watch?v=fT4JZU5hO58","Watch - Thinking - Misc - Solution Verification - Implementation")</f>
        <v>Watch - Thinking - Misc - Solution Verification - Implementation</v>
      </c>
      <c r="O955" s="191"/>
      <c r="P955" s="187"/>
      <c r="Q955" s="187"/>
    </row>
    <row r="956">
      <c r="A956" s="107"/>
      <c r="B956" s="107"/>
      <c r="C956" s="50"/>
      <c r="D956" s="50"/>
      <c r="E956" s="50"/>
      <c r="F956" s="50"/>
      <c r="G956" s="488">
        <v>64.0</v>
      </c>
      <c r="H956" s="430"/>
      <c r="I956" s="467"/>
      <c r="K956" s="60">
        <v>53.0</v>
      </c>
      <c r="L956" s="60"/>
      <c r="M956" s="193" t="str">
        <f>HYPERLINK("https://www.youtube.com/watch?v=6GzxGabB5MI","Watch - Graph Theory - Dijkstra")</f>
        <v>Watch - Graph Theory - Dijkstra</v>
      </c>
      <c r="O956" s="191"/>
      <c r="P956" s="90"/>
      <c r="Q956" s="90"/>
    </row>
    <row r="957">
      <c r="A957" s="107"/>
      <c r="B957" s="107"/>
      <c r="C957" s="50"/>
      <c r="D957" s="50"/>
      <c r="E957" s="50"/>
      <c r="F957" s="50"/>
      <c r="G957" s="476">
        <v>48.0</v>
      </c>
      <c r="H957" s="430"/>
      <c r="I957" s="467"/>
      <c r="K957" s="60">
        <v>54.0</v>
      </c>
      <c r="L957" s="60"/>
      <c r="M957" s="191" t="str">
        <f>HYPERLINK("https://www.youtube.com/watch?v=k5fDfC9vfWM","Watch - Computational Geometry - Lines Intersections")</f>
        <v>Watch - Computational Geometry - Lines Intersections</v>
      </c>
      <c r="O957" s="191"/>
      <c r="P957" s="187"/>
      <c r="Q957" s="187"/>
    </row>
    <row r="958">
      <c r="A958" s="107"/>
      <c r="B958" s="107"/>
      <c r="C958" s="50"/>
      <c r="D958" s="50"/>
      <c r="E958" s="50"/>
      <c r="F958" s="50"/>
      <c r="G958" s="476">
        <v>47.0</v>
      </c>
      <c r="H958" s="430"/>
      <c r="I958" s="467"/>
      <c r="K958" s="60">
        <v>55.0</v>
      </c>
      <c r="L958" s="60"/>
      <c r="M958" s="191" t="str">
        <f>HYPERLINK("https://www.youtube.com/watch?v=Fa69kqT9NPY","Watch - Computational Geometry - Circles")</f>
        <v>Watch - Computational Geometry - Circles</v>
      </c>
      <c r="O958" s="191"/>
      <c r="P958" s="473"/>
      <c r="Q958" s="473"/>
    </row>
    <row r="959">
      <c r="A959" s="107"/>
      <c r="B959" s="107"/>
      <c r="C959" s="50"/>
      <c r="D959" s="50"/>
      <c r="E959" s="50"/>
      <c r="F959" s="50"/>
      <c r="G959" s="469"/>
      <c r="H959" s="430"/>
      <c r="I959" s="467"/>
      <c r="K959" s="60">
        <v>56.0</v>
      </c>
      <c r="L959" s="60"/>
      <c r="M959" s="187" t="str">
        <f>HYPERLINK("https://www.youtube.com/watch?v=uKSLJw0ZUd8","Watch - Thinking - Error Inspection - History - Contest Strategy ")</f>
        <v>Watch - Thinking - Error Inspection - History - Contest Strategy </v>
      </c>
      <c r="O959" s="191"/>
      <c r="P959" s="191"/>
    </row>
    <row r="960">
      <c r="A960" s="107"/>
      <c r="B960" s="107"/>
      <c r="C960" s="50"/>
      <c r="D960" s="50"/>
      <c r="E960" s="50"/>
      <c r="F960" s="50"/>
      <c r="G960" s="476">
        <v>15.0</v>
      </c>
      <c r="H960" s="430"/>
      <c r="I960" s="467"/>
      <c r="K960" s="60">
        <v>57.0</v>
      </c>
      <c r="L960" s="60"/>
      <c r="M960" s="191" t="str">
        <f>HYPERLINK("https://www.youtube.com/watch?v=s3IGwpJwCTA","Watch - DP - Building Output")</f>
        <v>Watch - DP - Building Output</v>
      </c>
      <c r="O960" s="191"/>
      <c r="P960" s="191"/>
    </row>
    <row r="961">
      <c r="A961" s="107"/>
      <c r="B961" s="107"/>
      <c r="C961" s="50"/>
      <c r="D961" s="50"/>
      <c r="E961" s="50"/>
      <c r="F961" s="50"/>
      <c r="G961" s="476">
        <v>18.0</v>
      </c>
      <c r="H961" s="430"/>
      <c r="I961" s="467"/>
      <c r="K961" s="60">
        <v>58.0</v>
      </c>
      <c r="L961" s="60"/>
      <c r="M961" s="191" t="str">
        <f>HYPERLINK("https://www.youtube.com/watch?v=lE09Ss_Sy0A","Watch - DP - Counting")</f>
        <v>Watch - DP - Counting</v>
      </c>
      <c r="O961" s="191"/>
      <c r="P961" s="90"/>
    </row>
    <row r="962">
      <c r="A962" s="107"/>
      <c r="B962" s="107"/>
      <c r="C962" s="50"/>
      <c r="D962" s="50"/>
      <c r="E962" s="50"/>
      <c r="F962" s="50"/>
      <c r="G962" s="469"/>
      <c r="H962" s="430"/>
      <c r="I962" s="467"/>
      <c r="K962" s="60">
        <v>59.0</v>
      </c>
      <c r="L962" s="60"/>
      <c r="M962" s="191" t="str">
        <f>HYPERLINK("https://www.youtube.com/watch?v=f_lt366qTZc","Watch - Thinking - Let's Put All Together ")</f>
        <v>Watch - Thinking - Let's Put All Together </v>
      </c>
      <c r="O962" s="191"/>
      <c r="P962" s="187"/>
      <c r="Q962" s="187"/>
    </row>
    <row r="963">
      <c r="A963" s="107"/>
      <c r="B963" s="107"/>
      <c r="C963" s="50"/>
      <c r="D963" s="50"/>
      <c r="E963" s="50"/>
      <c r="F963" s="50"/>
      <c r="G963" s="476">
        <v>37.0</v>
      </c>
      <c r="H963" s="430"/>
      <c r="I963" s="467"/>
      <c r="K963" s="60">
        <v>60.0</v>
      </c>
      <c r="L963" s="60"/>
      <c r="M963" s="191" t="str">
        <f>HYPERLINK("https://www.youtube.com/watch?v=PrXbn8-zw14","Watch - DP - Table Method")</f>
        <v>Watch - DP - Table Method</v>
      </c>
      <c r="O963" s="191"/>
      <c r="P963" s="187"/>
      <c r="Q963" s="187"/>
    </row>
    <row r="964">
      <c r="A964" s="107"/>
      <c r="B964" s="107"/>
      <c r="C964" s="50"/>
      <c r="D964" s="50"/>
      <c r="E964" s="50"/>
      <c r="F964" s="50"/>
      <c r="G964" s="476">
        <v>68.0</v>
      </c>
      <c r="H964" s="430"/>
      <c r="I964" s="467"/>
      <c r="K964" s="60">
        <v>61.0</v>
      </c>
      <c r="L964" s="60"/>
      <c r="M964" s="191" t="str">
        <f>HYPERLINK("https://www.youtube.com/watch?v=ZIJLCVn4KzQ","Watch - Graph Theory - Floyd Warshal")</f>
        <v>Watch - Graph Theory - Floyd Warshal</v>
      </c>
      <c r="O964" s="191"/>
      <c r="P964" s="191"/>
      <c r="Q964" s="191"/>
    </row>
    <row r="965">
      <c r="A965" s="107"/>
      <c r="B965" s="107"/>
      <c r="C965" s="50"/>
      <c r="D965" s="50"/>
      <c r="E965" s="50"/>
      <c r="F965" s="50"/>
      <c r="G965" s="469"/>
      <c r="H965" s="430"/>
      <c r="I965" s="467"/>
      <c r="K965" s="60">
        <v>62.0</v>
      </c>
      <c r="L965" s="60"/>
      <c r="M965" s="191" t="str">
        <f>HYPERLINK("https://www.youtube.com/watch?v=ZNYQrKpR42g","Watch - Measuring Algorithms Perfromance - 2")</f>
        <v>Watch - Measuring Algorithms Perfromance - 2</v>
      </c>
      <c r="O965" s="191"/>
      <c r="P965" s="191"/>
      <c r="Q965" s="191"/>
    </row>
    <row r="966">
      <c r="A966" s="107"/>
      <c r="B966" s="107"/>
      <c r="C966" s="50"/>
      <c r="D966" s="50"/>
      <c r="E966" s="50"/>
      <c r="F966" s="50"/>
      <c r="G966" s="476">
        <v>62.0</v>
      </c>
      <c r="H966" s="430"/>
      <c r="I966" s="467"/>
      <c r="K966" s="60">
        <v>63.0</v>
      </c>
      <c r="L966" s="60"/>
      <c r="M966" s="481" t="str">
        <f>HYPERLINK("https://www.youtube.com/watch?v=RASvnfG2SSE","Watch - Graph Theory - Tree Diameter and Isomorphism")</f>
        <v>Watch - Graph Theory - Tree Diameter and Isomorphism</v>
      </c>
      <c r="O966" s="191"/>
      <c r="P966" s="187"/>
      <c r="Q966" s="187"/>
    </row>
    <row r="967">
      <c r="A967" s="107"/>
      <c r="B967" s="107"/>
      <c r="C967" s="50"/>
      <c r="D967" s="50"/>
      <c r="E967" s="50"/>
      <c r="F967" s="50"/>
      <c r="G967" s="476">
        <v>114.0</v>
      </c>
      <c r="H967" s="430"/>
      <c r="I967" s="467"/>
      <c r="K967" s="60">
        <v>64.0</v>
      </c>
      <c r="L967" s="60"/>
      <c r="M967" s="201" t="str">
        <f>HYPERLINK("https://www.youtube.com/watch?v=j__Kredt7vY","Watch Video - Expected Value")</f>
        <v>Watch Video - Expected Value</v>
      </c>
      <c r="N967" s="473"/>
      <c r="O967" s="191"/>
      <c r="P967" s="187"/>
      <c r="Q967" s="187"/>
    </row>
    <row r="968">
      <c r="A968" s="107"/>
      <c r="B968" s="107"/>
      <c r="C968" s="50"/>
      <c r="D968" s="50"/>
      <c r="E968" s="50"/>
      <c r="F968" s="50"/>
      <c r="G968" s="476" t="s">
        <v>1790</v>
      </c>
      <c r="H968" s="430"/>
      <c r="I968" s="467"/>
      <c r="K968" s="60">
        <v>65.0</v>
      </c>
      <c r="L968" s="60"/>
      <c r="M968" s="290" t="str">
        <f>HYPERLINK("https://www.youtube.com/watch?v=OLu5oskGGqw&amp;list=PLPt2dINI2MIZX2EtY81WI-lDkvhKziLKM&amp;index=11","Watch - Data Structures - Segment Tree (2 vid)")</f>
        <v>Watch - Data Structures - Segment Tree (2 vid)</v>
      </c>
      <c r="O968" s="191"/>
      <c r="P968" s="91"/>
      <c r="Q968" s="91"/>
    </row>
    <row r="969">
      <c r="A969" s="107"/>
      <c r="B969" s="107"/>
      <c r="C969" s="50"/>
      <c r="D969" s="50"/>
      <c r="E969" s="50"/>
      <c r="F969" s="50"/>
      <c r="G969" s="476">
        <v>38.0</v>
      </c>
      <c r="H969" s="430"/>
      <c r="I969" s="467"/>
      <c r="K969" s="60">
        <v>66.0</v>
      </c>
      <c r="L969" s="60"/>
      <c r="M969" s="312" t="str">
        <f>HYPERLINK("https://codeforces.com/blog/entry/20935","Reading: DP on Trees")</f>
        <v>Reading: DP on Trees</v>
      </c>
      <c r="N969" s="480"/>
      <c r="O969" s="191"/>
      <c r="P969" s="191"/>
      <c r="Q969" s="191"/>
    </row>
    <row r="970">
      <c r="A970" s="107"/>
      <c r="B970" s="107"/>
      <c r="C970" s="50"/>
      <c r="D970" s="50"/>
      <c r="E970" s="50"/>
      <c r="F970" s="50"/>
      <c r="G970" s="476">
        <v>138.0</v>
      </c>
      <c r="H970" s="430"/>
      <c r="I970" s="467"/>
      <c r="K970" s="60">
        <v>67.0</v>
      </c>
      <c r="L970" s="60"/>
      <c r="M970" s="489" t="str">
        <f>HYPERLINK("https://www.youtube.com/watch?v=n-Xwrr8RFQ0","Watch - Two pointers technique")</f>
        <v>Watch - Two pointers technique</v>
      </c>
      <c r="O970" s="191"/>
      <c r="P970" s="191"/>
      <c r="Q970" s="191"/>
    </row>
    <row r="971">
      <c r="A971" s="107"/>
      <c r="B971" s="107"/>
      <c r="C971" s="50"/>
      <c r="D971" s="50"/>
      <c r="E971" s="50"/>
      <c r="F971" s="50"/>
      <c r="G971" s="476">
        <v>29.0</v>
      </c>
      <c r="H971" s="430"/>
      <c r="I971" s="467"/>
      <c r="K971" s="60">
        <v>68.0</v>
      </c>
      <c r="L971" s="60"/>
      <c r="M971" s="470" t="str">
        <f>HYPERLINK("https://www.youtube.com/watch?v=nv6Z6n02Oi0","Watch - DP - Probability")</f>
        <v>Watch - DP - Probability</v>
      </c>
      <c r="O971" s="191"/>
      <c r="P971" s="191"/>
      <c r="Q971" s="191"/>
    </row>
    <row r="972">
      <c r="A972" s="107"/>
      <c r="B972" s="107"/>
      <c r="C972" s="50"/>
      <c r="D972" s="50"/>
      <c r="E972" s="50"/>
      <c r="F972" s="50"/>
      <c r="G972" s="476">
        <v>11.0</v>
      </c>
      <c r="H972" s="430"/>
      <c r="I972" s="467"/>
      <c r="K972" s="60">
        <v>69.0</v>
      </c>
      <c r="L972" s="60"/>
      <c r="M972" s="470" t="str">
        <f>HYPERLINK("https://www.youtube.com/watch?v=8aATaY9sdeE&amp;index=10&amp;list=PLPt2dINI2MIattDutu7IOAMlUuLeN8k2p&amp;t=3s","Watch - DP - Masks (2 vid)")</f>
        <v>Watch - DP - Masks (2 vid)</v>
      </c>
      <c r="O972" s="191"/>
      <c r="P972" s="191"/>
      <c r="Q972" s="191"/>
    </row>
    <row r="973">
      <c r="A973" s="107"/>
      <c r="B973" s="107"/>
      <c r="C973" s="50"/>
      <c r="D973" s="50"/>
      <c r="E973" s="50"/>
      <c r="F973" s="50"/>
      <c r="G973" s="476">
        <v>135.0</v>
      </c>
      <c r="H973" s="430"/>
      <c r="I973" s="467"/>
      <c r="K973" s="60">
        <v>70.0</v>
      </c>
      <c r="L973" s="60"/>
      <c r="M973" s="470" t="str">
        <f>HYPERLINK("https://www.youtube.com/watch?v=IGaJWl0jPY4","Watch - String Processing - Trie")</f>
        <v>Watch - String Processing - Trie</v>
      </c>
      <c r="O973" s="191"/>
      <c r="P973" s="187"/>
      <c r="Q973" s="187"/>
    </row>
    <row r="974">
      <c r="A974" s="107"/>
      <c r="B974" s="107"/>
      <c r="C974" s="50"/>
      <c r="D974" s="50"/>
      <c r="E974" s="50"/>
      <c r="F974" s="50"/>
      <c r="G974" s="476">
        <v>36.0</v>
      </c>
      <c r="H974" s="430"/>
      <c r="I974" s="467"/>
      <c r="K974" s="60">
        <v>71.0</v>
      </c>
      <c r="L974" s="60"/>
      <c r="M974" s="481" t="str">
        <f>HYPERLINK("https://www.youtube.com/watch?v=t-52tQ3vEgo","Watch - DP - Sub-rectangle style")</f>
        <v>Watch - DP - Sub-rectangle style</v>
      </c>
      <c r="O974" s="191"/>
      <c r="P974" s="191"/>
      <c r="Q974" s="191"/>
    </row>
    <row r="975">
      <c r="A975" s="107"/>
      <c r="B975" s="107"/>
      <c r="C975" s="50"/>
      <c r="D975" s="50"/>
      <c r="E975" s="50"/>
      <c r="F975" s="50"/>
      <c r="G975" s="476">
        <v>130.0</v>
      </c>
      <c r="H975" s="430"/>
      <c r="I975" s="467"/>
      <c r="K975" s="60">
        <v>72.0</v>
      </c>
      <c r="L975" s="60"/>
      <c r="M975" s="290" t="str">
        <f>HYPERLINK("https://www.youtube.com/watch?v=vjxLlFTKhrU&amp;index=2&amp;list=PLPt2dINI2MIYrtHBahPW16S-Wz9wx24Nc","Watch - String Processing - KMP (2 vid)")</f>
        <v>Watch - String Processing - KMP (2 vid)</v>
      </c>
      <c r="O975" s="191"/>
      <c r="P975" s="193"/>
      <c r="Q975" s="193"/>
    </row>
    <row r="976">
      <c r="A976" s="107"/>
      <c r="B976" s="107"/>
      <c r="C976" s="50"/>
      <c r="D976" s="50"/>
      <c r="E976" s="50"/>
      <c r="F976" s="50"/>
      <c r="G976" s="471">
        <v>23.0</v>
      </c>
      <c r="H976" s="430"/>
      <c r="I976" s="467"/>
      <c r="K976" s="60">
        <v>73.0</v>
      </c>
      <c r="L976" s="60"/>
      <c r="M976" s="290" t="str">
        <f>HYPERLINK("https://www.youtube.com/watch?v=X-cMRvuTGuM&amp;list=PLPt2dINI2MIattDutu7IOAMlUuLeN8k2p&amp;index=19","Watch - DP - Games (2 vid)")</f>
        <v>Watch - DP - Games (2 vid)</v>
      </c>
      <c r="O976" s="191"/>
      <c r="P976" s="489"/>
      <c r="Q976" s="489"/>
    </row>
    <row r="977">
      <c r="A977" s="50"/>
      <c r="B977" s="50"/>
      <c r="C977" s="50"/>
      <c r="D977" s="50"/>
      <c r="E977" s="50"/>
      <c r="F977" s="50"/>
      <c r="G977" s="471">
        <v>49.0</v>
      </c>
      <c r="H977" s="430"/>
      <c r="I977" s="467"/>
      <c r="K977" s="60">
        <v>74.0</v>
      </c>
      <c r="L977" s="60"/>
      <c r="M977" s="490" t="str">
        <f>HYPERLINK("https://www.youtube.com/watch?v=OnysyxVPPD0","Watch - Computational Geometry - Simple and Convex Polygons")</f>
        <v>Watch - Computational Geometry - Simple and Convex Polygons</v>
      </c>
      <c r="O977" s="191"/>
      <c r="P977" s="464"/>
      <c r="Q977" s="50"/>
    </row>
    <row r="978">
      <c r="A978" s="107"/>
      <c r="B978" s="107"/>
      <c r="C978" s="50"/>
      <c r="D978" s="50"/>
      <c r="E978" s="50"/>
      <c r="F978" s="50"/>
      <c r="G978" s="476">
        <v>49.0</v>
      </c>
      <c r="H978" s="430"/>
      <c r="I978" s="467"/>
      <c r="K978" s="60">
        <v>75.0</v>
      </c>
      <c r="L978" s="60"/>
      <c r="M978" s="491" t="str">
        <f>HYPERLINK("http://w.youtube.com/watch?v=Cce_O7EKv2Y","Watch - Computational Geometry - Polygon Area - Centroid - Cut")</f>
        <v>Watch - Computational Geometry - Polygon Area - Centroid - Cut</v>
      </c>
      <c r="O978" s="191"/>
      <c r="P978" s="191"/>
    </row>
    <row r="979">
      <c r="A979" s="107"/>
      <c r="B979" s="107"/>
      <c r="C979" s="50"/>
      <c r="D979" s="50"/>
      <c r="E979" s="50"/>
      <c r="F979" s="50"/>
      <c r="G979" s="476">
        <v>49.0</v>
      </c>
      <c r="H979" s="430"/>
      <c r="I979" s="467"/>
      <c r="K979" s="60">
        <v>76.0</v>
      </c>
      <c r="L979" s="60"/>
      <c r="M979" s="492" t="str">
        <f>HYPERLINK("https://www.youtube.com/watch?v=I5A6OYH1yuM","Watch - Computational Geometry - Point in polygon")</f>
        <v>Watch - Computational Geometry - Point in polygon</v>
      </c>
      <c r="O979" s="191"/>
      <c r="P979" s="191"/>
    </row>
    <row r="980">
      <c r="A980" s="107"/>
      <c r="B980" s="107"/>
      <c r="C980" s="50"/>
      <c r="D980" s="50"/>
      <c r="E980" s="50"/>
      <c r="F980" s="50"/>
      <c r="G980" s="476" t="s">
        <v>1791</v>
      </c>
      <c r="H980" s="430"/>
      <c r="I980" s="467"/>
      <c r="K980" s="60">
        <v>77.0</v>
      </c>
      <c r="L980" s="60"/>
      <c r="M980" s="290" t="str">
        <f>HYPERLINK("https://www.youtube.com/watch?v=QuOiEwefssM&amp;t=2s&amp;list=PLPt2dINI2MIb4OXlJ_EEwIDV9WVUpRQ5K&amp;index=16","Watch - Graph Theory - Maximum Flow (2 vid)")</f>
        <v>Watch - Graph Theory - Maximum Flow (2 vid)</v>
      </c>
      <c r="O980" s="191"/>
      <c r="P980" s="191"/>
    </row>
    <row r="981">
      <c r="A981" s="107"/>
      <c r="B981" s="107"/>
      <c r="C981" s="50"/>
      <c r="D981" s="50"/>
      <c r="E981" s="50"/>
      <c r="F981" s="50"/>
      <c r="G981" s="476">
        <v>77.0</v>
      </c>
      <c r="H981" s="430"/>
      <c r="I981" s="467"/>
      <c r="K981" s="60">
        <v>78.0</v>
      </c>
      <c r="L981" s="60"/>
      <c r="M981" s="290" t="str">
        <f>HYPERLINK("https://www.youtube.com/watch?v=xVMe4JSEQo0&amp;index=14&amp;list=PLPt2dINI2MIb4OXlJ_EEwIDV9WVUpRQ5K","Watch - Graph Theory - SCC (2 vid)")</f>
        <v>Watch - Graph Theory - SCC (2 vid)</v>
      </c>
      <c r="O981" s="191"/>
      <c r="P981" s="191"/>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5" priority="1" operator="equal">
      <formula>"No"</formula>
    </cfRule>
  </conditionalFormatting>
  <conditionalFormatting sqref="K7:K981 M903">
    <cfRule type="cellIs" dxfId="5" priority="2" operator="equal">
      <formula>"no"</formula>
    </cfRule>
  </conditionalFormatting>
  <conditionalFormatting sqref="K7:K981 M903">
    <cfRule type="cellIs" dxfId="5" priority="3" operator="equal">
      <formula>"NO"</formula>
    </cfRule>
  </conditionalFormatting>
  <conditionalFormatting sqref="C3:C981 D244">
    <cfRule type="cellIs" dxfId="0" priority="4" operator="equal">
      <formula>"AC"</formula>
    </cfRule>
  </conditionalFormatting>
  <conditionalFormatting sqref="C3:C981 D244">
    <cfRule type="containsText" dxfId="1" priority="5" operator="containsText" text="WA">
      <formula>NOT(ISERROR(SEARCH(("WA"),(C3))))</formula>
    </cfRule>
  </conditionalFormatting>
  <conditionalFormatting sqref="C3:C981">
    <cfRule type="containsText" dxfId="1" priority="6" operator="containsText" text="WA">
      <formula>NOT(ISERROR(SEARCH(("WA"),(C3))))</formula>
    </cfRule>
  </conditionalFormatting>
  <conditionalFormatting sqref="C3:C981 D244">
    <cfRule type="containsText" dxfId="2" priority="7" operator="containsText" text="TLE">
      <formula>NOT(ISERROR(SEARCH(("TLE"),(C3))))</formula>
    </cfRule>
  </conditionalFormatting>
  <conditionalFormatting sqref="C3:C981">
    <cfRule type="containsText" dxfId="2"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3" priority="10" operator="containsText" text="RTE">
      <formula>NOT(ISERROR(SEARCH(("RTE"),(C3))))</formula>
    </cfRule>
  </conditionalFormatting>
  <conditionalFormatting sqref="C3:C981 D244">
    <cfRule type="containsText" dxfId="4" priority="11" operator="containsText" text="CS">
      <formula>NOT(ISERROR(SEARCH(("CS"),(C3))))</formula>
    </cfRule>
  </conditionalFormatting>
  <conditionalFormatting sqref="C3:C981">
    <cfRule type="containsText" dxfId="4"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9.57"/>
    <col customWidth="1" min="2" max="2" width="115.71"/>
  </cols>
  <sheetData>
    <row r="1">
      <c r="B1" s="493" t="s">
        <v>1792</v>
      </c>
    </row>
    <row r="2">
      <c r="B2" s="494" t="str">
        <f>HYPERLINK("https://www.youtube.com/watch?v=tKGztXjnnuA","Training Secrets of Success Video")</f>
        <v>Training Secrets of Success Video</v>
      </c>
    </row>
    <row r="5">
      <c r="A5" s="61" t="s">
        <v>1793</v>
      </c>
    </row>
    <row r="6">
      <c r="B6" s="21" t="s">
        <v>1794</v>
      </c>
    </row>
    <row r="7">
      <c r="B7" s="21" t="s">
        <v>1795</v>
      </c>
    </row>
    <row r="9">
      <c r="A9" s="61" t="s">
        <v>1796</v>
      </c>
    </row>
    <row r="10">
      <c r="B10" s="21" t="s">
        <v>1797</v>
      </c>
    </row>
    <row r="11">
      <c r="B11" s="495"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1" t="s">
        <v>1798</v>
      </c>
    </row>
    <row r="14">
      <c r="A14" s="61" t="s">
        <v>1799</v>
      </c>
    </row>
    <row r="15">
      <c r="B15" s="21" t="s">
        <v>1800</v>
      </c>
    </row>
    <row r="16">
      <c r="B16" s="21" t="s">
        <v>1801</v>
      </c>
    </row>
    <row r="17">
      <c r="B17" s="21" t="s">
        <v>1802</v>
      </c>
    </row>
    <row r="18">
      <c r="B18" s="21" t="s">
        <v>1803</v>
      </c>
    </row>
    <row r="20">
      <c r="A20" s="61" t="s">
        <v>1804</v>
      </c>
    </row>
    <row r="21">
      <c r="B21" s="21" t="s">
        <v>1805</v>
      </c>
    </row>
    <row r="22">
      <c r="B22" s="21" t="s">
        <v>1806</v>
      </c>
    </row>
    <row r="23">
      <c r="B23" s="21" t="s">
        <v>1807</v>
      </c>
    </row>
    <row r="25">
      <c r="A25" s="61" t="s">
        <v>1808</v>
      </c>
    </row>
    <row r="26">
      <c r="B26" s="21" t="s">
        <v>1809</v>
      </c>
    </row>
    <row r="27">
      <c r="B27" s="21" t="s">
        <v>1810</v>
      </c>
    </row>
    <row r="29">
      <c r="A29" s="61" t="s">
        <v>1811</v>
      </c>
    </row>
    <row r="30">
      <c r="B30" s="21" t="s">
        <v>1812</v>
      </c>
    </row>
    <row r="31">
      <c r="B31" s="21" t="s">
        <v>1813</v>
      </c>
    </row>
    <row r="33">
      <c r="A33" s="61" t="s">
        <v>1814</v>
      </c>
    </row>
    <row r="34">
      <c r="B34" s="21" t="s">
        <v>1815</v>
      </c>
    </row>
    <row r="35">
      <c r="B35" s="21" t="s">
        <v>1816</v>
      </c>
    </row>
    <row r="36">
      <c r="B36" s="21" t="s">
        <v>1817</v>
      </c>
    </row>
    <row r="37">
      <c r="B37" s="21" t="s">
        <v>1818</v>
      </c>
    </row>
    <row r="39">
      <c r="A39" s="61" t="s">
        <v>1819</v>
      </c>
    </row>
    <row r="40">
      <c r="B40" s="21" t="s">
        <v>1820</v>
      </c>
    </row>
    <row r="41">
      <c r="B41" s="21" t="s">
        <v>1821</v>
      </c>
    </row>
    <row r="43">
      <c r="A43" s="61" t="s">
        <v>1822</v>
      </c>
    </row>
    <row r="44">
      <c r="B44" s="21" t="s">
        <v>1823</v>
      </c>
    </row>
    <row r="45">
      <c r="B45" s="21" t="s">
        <v>1824</v>
      </c>
    </row>
    <row r="47">
      <c r="A47" s="61" t="s">
        <v>1825</v>
      </c>
    </row>
    <row r="48">
      <c r="B48" s="21" t="s">
        <v>1826</v>
      </c>
    </row>
    <row r="49">
      <c r="B49" s="21" t="s">
        <v>1827</v>
      </c>
    </row>
    <row r="50">
      <c r="B50" s="21" t="s">
        <v>1828</v>
      </c>
    </row>
    <row r="52">
      <c r="A52" s="61" t="s">
        <v>1829</v>
      </c>
    </row>
    <row r="53">
      <c r="B53" s="21" t="s">
        <v>1830</v>
      </c>
    </row>
    <row r="54">
      <c r="B54" s="21" t="s">
        <v>1831</v>
      </c>
    </row>
    <row r="55">
      <c r="B55" s="21" t="s">
        <v>1832</v>
      </c>
    </row>
    <row r="57">
      <c r="A57" s="61" t="s">
        <v>1833</v>
      </c>
    </row>
    <row r="58">
      <c r="B58" s="21" t="s">
        <v>1834</v>
      </c>
    </row>
    <row r="60">
      <c r="A60" s="61" t="s">
        <v>1835</v>
      </c>
    </row>
    <row r="61">
      <c r="B61" s="21" t="s">
        <v>1836</v>
      </c>
    </row>
    <row r="62">
      <c r="B62" s="21" t="s">
        <v>1837</v>
      </c>
    </row>
    <row r="63">
      <c r="B63" s="21" t="s">
        <v>1838</v>
      </c>
    </row>
    <row r="64">
      <c r="B64" s="21" t="s">
        <v>1839</v>
      </c>
    </row>
    <row r="65">
      <c r="B65" s="21" t="s">
        <v>1840</v>
      </c>
    </row>
    <row r="66">
      <c r="B66" s="21" t="s">
        <v>1841</v>
      </c>
    </row>
    <row r="67">
      <c r="B67" s="21" t="s">
        <v>1842</v>
      </c>
    </row>
    <row r="68">
      <c r="B68" s="21" t="s">
        <v>1843</v>
      </c>
    </row>
    <row r="69">
      <c r="B69" s="21" t="s">
        <v>1844</v>
      </c>
    </row>
    <row r="70">
      <c r="B70" s="21" t="s">
        <v>1845</v>
      </c>
    </row>
    <row r="71">
      <c r="B71" s="21"/>
    </row>
    <row r="72">
      <c r="B72" s="496" t="s">
        <v>1846</v>
      </c>
    </row>
  </sheetData>
  <drawing r:id="rId1"/>
</worksheet>
</file>